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Financial modelling\Files For Students\Modelling &amp; Valuation\Project Finance Model\"/>
    </mc:Choice>
  </mc:AlternateContent>
  <bookViews>
    <workbookView xWindow="-105" yWindow="-105" windowWidth="23265" windowHeight="12585" tabRatio="935" firstSheet="5" activeTab="5"/>
  </bookViews>
  <sheets>
    <sheet name="Inputs" sheetId="2" r:id="rId1"/>
    <sheet name="Site Dev" sheetId="3" r:id="rId2"/>
    <sheet name="Civil" sheetId="4" r:id="rId3"/>
    <sheet name="P&amp;M" sheetId="5" r:id="rId4"/>
    <sheet name="Pre-operative" sheetId="1" r:id="rId5"/>
    <sheet name="IDC" sheetId="10" r:id="rId6"/>
    <sheet name="Capacity" sheetId="11" r:id="rId7"/>
    <sheet name="Revenue Buildup" sheetId="12" r:id="rId8"/>
    <sheet name="RM" sheetId="13" r:id="rId9"/>
    <sheet name="Consumables" sheetId="14" r:id="rId10"/>
    <sheet name="Power" sheetId="16" r:id="rId11"/>
    <sheet name="Manpower" sheetId="17" r:id="rId12"/>
    <sheet name="Repairs" sheetId="18" r:id="rId13"/>
    <sheet name="FAS" sheetId="19" r:id="rId14"/>
    <sheet name="WC" sheetId="21" r:id="rId15"/>
    <sheet name="TL" sheetId="22" r:id="rId16"/>
    <sheet name="Cost &amp; Means" sheetId="9" r:id="rId17"/>
    <sheet name="PL" sheetId="6" r:id="rId18"/>
    <sheet name="BS" sheetId="7" r:id="rId19"/>
    <sheet name="CFS" sheetId="8" r:id="rId20"/>
    <sheet name="Ratios" sheetId="23" r:id="rId21"/>
  </sheets>
  <externalReferences>
    <externalReference r:id="rId22"/>
  </externalReferences>
  <definedNames>
    <definedName name="__123Graph_A" hidden="1">#REF!</definedName>
    <definedName name="__123Graph_ACHART1" hidden="1">#REF!</definedName>
    <definedName name="__123Graph_ACHART2" hidden="1">#REF!</definedName>
    <definedName name="__123Graph_ACURRENT" hidden="1">#REF!</definedName>
    <definedName name="__123Graph_B" hidden="1">#REF!</definedName>
    <definedName name="__123Graph_BCHART1" hidden="1">#REF!</definedName>
    <definedName name="__123Graph_BCHART2" hidden="1">#REF!</definedName>
    <definedName name="__123Graph_BCURRENT" hidden="1">#REF!</definedName>
    <definedName name="__123Graph_C" hidden="1">#REF!</definedName>
    <definedName name="__123Graph_CCHART1" hidden="1">#REF!</definedName>
    <definedName name="__123Graph_CCHART2" hidden="1">#REF!</definedName>
    <definedName name="__123Graph_CCURRENT" hidden="1">#REF!</definedName>
    <definedName name="__123Graph_D" hidden="1">#REF!</definedName>
    <definedName name="__123Graph_DCHART1" hidden="1">#REF!</definedName>
    <definedName name="__123Graph_DCHART2" hidden="1">#REF!</definedName>
    <definedName name="__123Graph_DCURRENT" hidden="1">#REF!</definedName>
    <definedName name="__123Graph_E" hidden="1">#REF!</definedName>
    <definedName name="__123Graph_ECHART1" hidden="1">#REF!</definedName>
    <definedName name="__123Graph_ECHART2" hidden="1">#REF!</definedName>
    <definedName name="__123Graph_ECURRENT" hidden="1">#REF!</definedName>
    <definedName name="__123Graph_F" hidden="1">#REF!</definedName>
    <definedName name="__123Graph_FCHART1" hidden="1">#REF!</definedName>
    <definedName name="__123Graph_FCHART2" hidden="1">#REF!</definedName>
    <definedName name="__123Graph_FCURRENT" hidden="1">#REF!</definedName>
    <definedName name="__123Graph_X" hidden="1">#REF!</definedName>
    <definedName name="__123Graph_XCHART1" hidden="1">#REF!</definedName>
    <definedName name="__123Graph_XCHART2" hidden="1">#REF!</definedName>
    <definedName name="__123Graph_XCURRENT" hidden="1">#REF!</definedName>
    <definedName name="aaaaa" hidden="1">#REF!</definedName>
    <definedName name="Company_Name">Inputs!$C$3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86" i="7" l="1"/>
  <c r="I86" i="7" s="1"/>
  <c r="J86" i="7" s="1"/>
  <c r="K86" i="7" s="1"/>
  <c r="L86" i="7" s="1"/>
  <c r="M86" i="7" s="1"/>
  <c r="N86" i="7" s="1"/>
  <c r="G86" i="7"/>
  <c r="H24" i="7"/>
  <c r="I24" i="7"/>
  <c r="J24" i="7" s="1"/>
  <c r="K24" i="7" s="1"/>
  <c r="L24" i="7" s="1"/>
  <c r="M24" i="7" s="1"/>
  <c r="N24" i="7" s="1"/>
  <c r="G24" i="7"/>
  <c r="H31" i="7"/>
  <c r="I31" i="7" s="1"/>
  <c r="J31" i="7" s="1"/>
  <c r="K31" i="7" s="1"/>
  <c r="L31" i="7" s="1"/>
  <c r="M31" i="7" s="1"/>
  <c r="N31" i="7" s="1"/>
  <c r="G31" i="7"/>
  <c r="D35" i="23"/>
  <c r="E35" i="23" s="1"/>
  <c r="F35" i="23" s="1"/>
  <c r="G35" i="23" s="1"/>
  <c r="H35" i="23" s="1"/>
  <c r="I35" i="23" s="1"/>
  <c r="J35" i="23" s="1"/>
  <c r="K35" i="23" s="1"/>
  <c r="D20" i="23"/>
  <c r="E20" i="23" s="1"/>
  <c r="F20" i="23" s="1"/>
  <c r="G20" i="23" s="1"/>
  <c r="H20" i="23" s="1"/>
  <c r="I20" i="23" s="1"/>
  <c r="J20" i="23" s="1"/>
  <c r="K20" i="23" s="1"/>
  <c r="F40" i="6"/>
  <c r="C11" i="23"/>
  <c r="D4" i="23"/>
  <c r="E4" i="23" s="1"/>
  <c r="F4" i="23" s="1"/>
  <c r="G4" i="23" s="1"/>
  <c r="H4" i="23" s="1"/>
  <c r="I4" i="23" s="1"/>
  <c r="J4" i="23" s="1"/>
  <c r="K4" i="23" s="1"/>
  <c r="L31" i="8"/>
  <c r="K31" i="8"/>
  <c r="J31" i="8"/>
  <c r="I31" i="8"/>
  <c r="H31" i="8"/>
  <c r="G31" i="8"/>
  <c r="F31" i="8"/>
  <c r="E31" i="8"/>
  <c r="D31" i="8"/>
  <c r="C5" i="8"/>
  <c r="N99" i="7"/>
  <c r="M99" i="7"/>
  <c r="L99" i="7"/>
  <c r="K99" i="7"/>
  <c r="J99" i="7"/>
  <c r="I99" i="7"/>
  <c r="H99" i="7"/>
  <c r="G99" i="7"/>
  <c r="F99" i="7"/>
  <c r="K36" i="19"/>
  <c r="J36" i="19"/>
  <c r="I36" i="19"/>
  <c r="H36" i="19"/>
  <c r="G36" i="19"/>
  <c r="F36" i="19"/>
  <c r="E36" i="19"/>
  <c r="D36" i="19"/>
  <c r="C35" i="19"/>
  <c r="N79" i="7"/>
  <c r="M79" i="7"/>
  <c r="L79" i="7"/>
  <c r="K79" i="7"/>
  <c r="J79" i="7"/>
  <c r="I79" i="7"/>
  <c r="H79" i="7"/>
  <c r="G79" i="7"/>
  <c r="F82" i="7"/>
  <c r="F79" i="7"/>
  <c r="N28" i="7"/>
  <c r="D59" i="2" l="1"/>
  <c r="E4" i="7" l="1"/>
  <c r="E4" i="6"/>
  <c r="E71" i="22"/>
  <c r="D71" i="22"/>
  <c r="C71" i="22"/>
  <c r="E70" i="22"/>
  <c r="D70" i="22"/>
  <c r="C70" i="22"/>
  <c r="C6" i="22"/>
  <c r="D7" i="22"/>
  <c r="E7" i="22" s="1"/>
  <c r="F7" i="22" s="1"/>
  <c r="G7" i="22" s="1"/>
  <c r="H7" i="22" s="1"/>
  <c r="I7" i="22" s="1"/>
  <c r="J7" i="22" s="1"/>
  <c r="K7" i="22" s="1"/>
  <c r="L7" i="22" s="1"/>
  <c r="M7" i="22" s="1"/>
  <c r="F38" i="6"/>
  <c r="G4" i="12"/>
  <c r="H4" i="12" s="1"/>
  <c r="I4" i="12" s="1"/>
  <c r="J4" i="12" s="1"/>
  <c r="K4" i="12" s="1"/>
  <c r="L4" i="12" s="1"/>
  <c r="F4" i="12"/>
  <c r="E4" i="12"/>
  <c r="L25" i="21"/>
  <c r="K25" i="21"/>
  <c r="J25" i="21"/>
  <c r="I25" i="21"/>
  <c r="H25" i="21"/>
  <c r="G25" i="21"/>
  <c r="F25" i="21"/>
  <c r="E25" i="21"/>
  <c r="D25" i="21"/>
  <c r="N38" i="6"/>
  <c r="M38" i="6"/>
  <c r="L38" i="6"/>
  <c r="K38" i="6"/>
  <c r="J38" i="6"/>
  <c r="K37" i="6" s="1"/>
  <c r="I38" i="6"/>
  <c r="J37" i="6" s="1"/>
  <c r="H38" i="6"/>
  <c r="G38" i="6"/>
  <c r="H37" i="6" s="1"/>
  <c r="N37" i="6"/>
  <c r="M37" i="6"/>
  <c r="L37" i="6"/>
  <c r="I37" i="6"/>
  <c r="C35" i="21"/>
  <c r="G31" i="21"/>
  <c r="H31" i="21" s="1"/>
  <c r="I31" i="21" s="1"/>
  <c r="J31" i="21" s="1"/>
  <c r="K31" i="21" s="1"/>
  <c r="L31" i="21" s="1"/>
  <c r="F31" i="21"/>
  <c r="E31" i="21"/>
  <c r="D31" i="21"/>
  <c r="D19" i="21"/>
  <c r="E19" i="21" s="1"/>
  <c r="F19" i="21" s="1"/>
  <c r="G19" i="21" s="1"/>
  <c r="H19" i="21" s="1"/>
  <c r="I19" i="21" s="1"/>
  <c r="J19" i="21" s="1"/>
  <c r="K19" i="21" s="1"/>
  <c r="L19" i="21" s="1"/>
  <c r="D16" i="21"/>
  <c r="E16" i="21" s="1"/>
  <c r="F16" i="21" s="1"/>
  <c r="G16" i="21" s="1"/>
  <c r="H16" i="21" s="1"/>
  <c r="I16" i="21" s="1"/>
  <c r="J16" i="21" s="1"/>
  <c r="K16" i="21" s="1"/>
  <c r="L16" i="21" s="1"/>
  <c r="D13" i="21"/>
  <c r="E13" i="21" s="1"/>
  <c r="F13" i="21" s="1"/>
  <c r="G13" i="21" s="1"/>
  <c r="H13" i="21" s="1"/>
  <c r="I13" i="21" s="1"/>
  <c r="J13" i="21" s="1"/>
  <c r="K13" i="21" s="1"/>
  <c r="L13" i="21" s="1"/>
  <c r="D10" i="21"/>
  <c r="F29" i="6"/>
  <c r="G29" i="6"/>
  <c r="H29" i="6"/>
  <c r="I29" i="6"/>
  <c r="J29" i="6"/>
  <c r="K29" i="6"/>
  <c r="L29" i="6"/>
  <c r="M29" i="6"/>
  <c r="N29" i="6"/>
  <c r="G7" i="21"/>
  <c r="H7" i="21" s="1"/>
  <c r="I7" i="21" s="1"/>
  <c r="J7" i="21" s="1"/>
  <c r="K7" i="21" s="1"/>
  <c r="L7" i="21" s="1"/>
  <c r="F7" i="21"/>
  <c r="E7" i="21"/>
  <c r="E6" i="21"/>
  <c r="F6" i="21" s="1"/>
  <c r="G6" i="21" s="1"/>
  <c r="H6" i="21" s="1"/>
  <c r="I6" i="21" s="1"/>
  <c r="J6" i="21" s="1"/>
  <c r="K6" i="21" s="1"/>
  <c r="L6" i="21" s="1"/>
  <c r="C29" i="19"/>
  <c r="C22" i="19"/>
  <c r="C15" i="19"/>
  <c r="D15" i="19" s="1"/>
  <c r="E15" i="19" s="1"/>
  <c r="F15" i="19" s="1"/>
  <c r="G15" i="19" s="1"/>
  <c r="H15" i="19" s="1"/>
  <c r="I15" i="19" s="1"/>
  <c r="J15" i="19" s="1"/>
  <c r="K15" i="19" s="1"/>
  <c r="C9" i="19"/>
  <c r="C10" i="19" s="1"/>
  <c r="D8" i="19" s="1"/>
  <c r="D10" i="19" s="1"/>
  <c r="E8" i="19" s="1"/>
  <c r="E10" i="19" s="1"/>
  <c r="F8" i="19" s="1"/>
  <c r="F10" i="19" s="1"/>
  <c r="G8" i="19" s="1"/>
  <c r="G10" i="19" s="1"/>
  <c r="H8" i="19" s="1"/>
  <c r="H10" i="19" s="1"/>
  <c r="I8" i="19" s="1"/>
  <c r="I10" i="19" s="1"/>
  <c r="J8" i="19" s="1"/>
  <c r="J10" i="19" s="1"/>
  <c r="K8" i="19" s="1"/>
  <c r="K10" i="19" s="1"/>
  <c r="D6" i="19"/>
  <c r="E6" i="19" s="1"/>
  <c r="F6" i="19" s="1"/>
  <c r="G6" i="19" s="1"/>
  <c r="H6" i="19" s="1"/>
  <c r="I6" i="19" s="1"/>
  <c r="J6" i="19" s="1"/>
  <c r="K6" i="19" s="1"/>
  <c r="E5" i="18"/>
  <c r="F5" i="18" s="1"/>
  <c r="G5" i="18" s="1"/>
  <c r="H5" i="18" s="1"/>
  <c r="I5" i="18" s="1"/>
  <c r="J5" i="18" s="1"/>
  <c r="K5" i="18" s="1"/>
  <c r="L5" i="18" s="1"/>
  <c r="M34" i="17"/>
  <c r="L34" i="17"/>
  <c r="K34" i="17"/>
  <c r="J34" i="17"/>
  <c r="I34" i="17"/>
  <c r="H34" i="17"/>
  <c r="G34" i="17"/>
  <c r="F34" i="17"/>
  <c r="E34" i="17"/>
  <c r="C34" i="17"/>
  <c r="M32" i="17"/>
  <c r="L32" i="17"/>
  <c r="K32" i="17"/>
  <c r="J32" i="17"/>
  <c r="I32" i="17"/>
  <c r="H32" i="17"/>
  <c r="G32" i="17"/>
  <c r="F32" i="17"/>
  <c r="E32" i="17"/>
  <c r="C32" i="17"/>
  <c r="E31" i="17"/>
  <c r="F31" i="17" s="1"/>
  <c r="G31" i="17" s="1"/>
  <c r="H31" i="17" s="1"/>
  <c r="I31" i="17" s="1"/>
  <c r="J31" i="17" s="1"/>
  <c r="K31" i="17" s="1"/>
  <c r="L31" i="17" s="1"/>
  <c r="M31" i="17" s="1"/>
  <c r="E30" i="17"/>
  <c r="F30" i="17" s="1"/>
  <c r="G30" i="17" s="1"/>
  <c r="H30" i="17" s="1"/>
  <c r="I30" i="17" s="1"/>
  <c r="J30" i="17" s="1"/>
  <c r="K30" i="17" s="1"/>
  <c r="L30" i="17" s="1"/>
  <c r="M30" i="17" s="1"/>
  <c r="E29" i="17"/>
  <c r="F29" i="17" s="1"/>
  <c r="G29" i="17" s="1"/>
  <c r="H29" i="17" s="1"/>
  <c r="I29" i="17" s="1"/>
  <c r="J29" i="17" s="1"/>
  <c r="K29" i="17" s="1"/>
  <c r="L29" i="17" s="1"/>
  <c r="M29" i="17" s="1"/>
  <c r="M26" i="17"/>
  <c r="L26" i="17"/>
  <c r="K26" i="17"/>
  <c r="J26" i="17"/>
  <c r="I26" i="17"/>
  <c r="H26" i="17"/>
  <c r="G26" i="17"/>
  <c r="F26" i="17"/>
  <c r="E26" i="17"/>
  <c r="M27" i="17"/>
  <c r="L27" i="17"/>
  <c r="K27" i="17"/>
  <c r="J27" i="17"/>
  <c r="I27" i="17"/>
  <c r="H27" i="17"/>
  <c r="G27" i="17"/>
  <c r="F27" i="17"/>
  <c r="E27" i="17"/>
  <c r="C27" i="17"/>
  <c r="F25" i="17"/>
  <c r="G25" i="17" s="1"/>
  <c r="H25" i="17" s="1"/>
  <c r="I25" i="17" s="1"/>
  <c r="J25" i="17" s="1"/>
  <c r="K25" i="17" s="1"/>
  <c r="L25" i="17" s="1"/>
  <c r="M25" i="17" s="1"/>
  <c r="E25" i="17"/>
  <c r="G24" i="17"/>
  <c r="H24" i="17" s="1"/>
  <c r="I24" i="17" s="1"/>
  <c r="J24" i="17" s="1"/>
  <c r="K24" i="17" s="1"/>
  <c r="L24" i="17" s="1"/>
  <c r="M24" i="17" s="1"/>
  <c r="F24" i="17"/>
  <c r="E24" i="17"/>
  <c r="E23" i="17"/>
  <c r="F23" i="17" s="1"/>
  <c r="G23" i="17" s="1"/>
  <c r="H23" i="17" s="1"/>
  <c r="I23" i="17" s="1"/>
  <c r="J23" i="17" s="1"/>
  <c r="K23" i="17" s="1"/>
  <c r="L23" i="17" s="1"/>
  <c r="M23" i="17" s="1"/>
  <c r="F22" i="17"/>
  <c r="G22" i="17" s="1"/>
  <c r="H22" i="17" s="1"/>
  <c r="I22" i="17" s="1"/>
  <c r="J22" i="17" s="1"/>
  <c r="K22" i="17" s="1"/>
  <c r="L22" i="17" s="1"/>
  <c r="M22" i="17" s="1"/>
  <c r="E22" i="17"/>
  <c r="G21" i="17"/>
  <c r="H21" i="17" s="1"/>
  <c r="I21" i="17" s="1"/>
  <c r="J21" i="17" s="1"/>
  <c r="K21" i="17" s="1"/>
  <c r="L21" i="17" s="1"/>
  <c r="M21" i="17" s="1"/>
  <c r="F21" i="17"/>
  <c r="E21" i="17"/>
  <c r="C18" i="17"/>
  <c r="G8" i="17"/>
  <c r="H8" i="17" s="1"/>
  <c r="I8" i="17" s="1"/>
  <c r="J8" i="17" s="1"/>
  <c r="K8" i="17" s="1"/>
  <c r="L8" i="17" s="1"/>
  <c r="M8" i="17" s="1"/>
  <c r="F8" i="17"/>
  <c r="E16" i="17"/>
  <c r="F16" i="17" s="1"/>
  <c r="G16" i="17" s="1"/>
  <c r="H16" i="17" s="1"/>
  <c r="I16" i="17" s="1"/>
  <c r="J16" i="17" s="1"/>
  <c r="K16" i="17" s="1"/>
  <c r="L16" i="17" s="1"/>
  <c r="M16" i="17" s="1"/>
  <c r="E15" i="17"/>
  <c r="F15" i="17" s="1"/>
  <c r="G15" i="17" s="1"/>
  <c r="H15" i="17" s="1"/>
  <c r="I15" i="17" s="1"/>
  <c r="J15" i="17" s="1"/>
  <c r="K15" i="17" s="1"/>
  <c r="L15" i="17" s="1"/>
  <c r="M15" i="17" s="1"/>
  <c r="E14" i="17"/>
  <c r="F14" i="17" s="1"/>
  <c r="G14" i="17" s="1"/>
  <c r="H14" i="17" s="1"/>
  <c r="I14" i="17" s="1"/>
  <c r="J14" i="17" s="1"/>
  <c r="K14" i="17" s="1"/>
  <c r="L14" i="17" s="1"/>
  <c r="M14" i="17" s="1"/>
  <c r="E13" i="17"/>
  <c r="F13" i="17" s="1"/>
  <c r="G13" i="17" s="1"/>
  <c r="H13" i="17" s="1"/>
  <c r="I13" i="17" s="1"/>
  <c r="J13" i="17" s="1"/>
  <c r="K13" i="17" s="1"/>
  <c r="L13" i="17" s="1"/>
  <c r="M13" i="17" s="1"/>
  <c r="E12" i="17"/>
  <c r="F12" i="17" s="1"/>
  <c r="G12" i="17" s="1"/>
  <c r="H12" i="17" s="1"/>
  <c r="I12" i="17" s="1"/>
  <c r="J12" i="17" s="1"/>
  <c r="K12" i="17" s="1"/>
  <c r="L12" i="17" s="1"/>
  <c r="M12" i="17" s="1"/>
  <c r="E11" i="17"/>
  <c r="F11" i="17" s="1"/>
  <c r="G11" i="17" s="1"/>
  <c r="H11" i="17" s="1"/>
  <c r="I11" i="17" s="1"/>
  <c r="J11" i="17" s="1"/>
  <c r="K11" i="17" s="1"/>
  <c r="L11" i="17" s="1"/>
  <c r="M11" i="17" s="1"/>
  <c r="E10" i="17"/>
  <c r="F10" i="17" s="1"/>
  <c r="G10" i="17" s="1"/>
  <c r="H10" i="17" s="1"/>
  <c r="I10" i="17" s="1"/>
  <c r="J10" i="17" s="1"/>
  <c r="K10" i="17" s="1"/>
  <c r="L10" i="17" s="1"/>
  <c r="M10" i="17" s="1"/>
  <c r="E9" i="17"/>
  <c r="F9" i="17" s="1"/>
  <c r="G9" i="17" s="1"/>
  <c r="H9" i="17" s="1"/>
  <c r="I9" i="17" s="1"/>
  <c r="J9" i="17" s="1"/>
  <c r="K9" i="17" s="1"/>
  <c r="L9" i="17" s="1"/>
  <c r="M9" i="17" s="1"/>
  <c r="E8" i="17"/>
  <c r="E10" i="21" l="1"/>
  <c r="F10" i="21" s="1"/>
  <c r="G10" i="21" s="1"/>
  <c r="H10" i="21" s="1"/>
  <c r="I10" i="21" s="1"/>
  <c r="J10" i="21" s="1"/>
  <c r="K10" i="21" s="1"/>
  <c r="L10" i="21" s="1"/>
  <c r="D29" i="19"/>
  <c r="E29" i="19" s="1"/>
  <c r="F29" i="19" s="1"/>
  <c r="G29" i="19" s="1"/>
  <c r="H29" i="19" s="1"/>
  <c r="I29" i="19" s="1"/>
  <c r="J29" i="19" s="1"/>
  <c r="K29" i="19" s="1"/>
  <c r="D22" i="19"/>
  <c r="E22" i="19" s="1"/>
  <c r="F22" i="19" s="1"/>
  <c r="G22" i="19" s="1"/>
  <c r="H22" i="19" s="1"/>
  <c r="I22" i="19" s="1"/>
  <c r="J22" i="19" s="1"/>
  <c r="K22" i="19" s="1"/>
  <c r="E17" i="17"/>
  <c r="F17" i="17" s="1"/>
  <c r="G17" i="17" s="1"/>
  <c r="H17" i="17" s="1"/>
  <c r="I17" i="17" s="1"/>
  <c r="J17" i="17" s="1"/>
  <c r="K17" i="17" s="1"/>
  <c r="L17" i="17" s="1"/>
  <c r="M17" i="17" s="1"/>
  <c r="M18" i="17" s="1"/>
  <c r="F6" i="17"/>
  <c r="F4" i="17"/>
  <c r="G4" i="17" s="1"/>
  <c r="H4" i="17" s="1"/>
  <c r="I4" i="17" s="1"/>
  <c r="J4" i="17" s="1"/>
  <c r="K4" i="17" s="1"/>
  <c r="L4" i="17" s="1"/>
  <c r="M4" i="17" s="1"/>
  <c r="G14" i="16"/>
  <c r="H14" i="16" s="1"/>
  <c r="I14" i="16" s="1"/>
  <c r="J14" i="16" s="1"/>
  <c r="K14" i="16" s="1"/>
  <c r="L14" i="16" s="1"/>
  <c r="F14" i="16"/>
  <c r="E14" i="16"/>
  <c r="E9" i="16"/>
  <c r="F9" i="16" s="1"/>
  <c r="G9" i="16" s="1"/>
  <c r="H9" i="16" s="1"/>
  <c r="I9" i="16" s="1"/>
  <c r="J9" i="16" s="1"/>
  <c r="K9" i="16" s="1"/>
  <c r="L9" i="16" s="1"/>
  <c r="E11" i="14"/>
  <c r="F11" i="14" s="1"/>
  <c r="G11" i="14" s="1"/>
  <c r="H11" i="14" s="1"/>
  <c r="I11" i="14" s="1"/>
  <c r="J11" i="14" s="1"/>
  <c r="K11" i="14" s="1"/>
  <c r="L11" i="14" s="1"/>
  <c r="E4" i="14"/>
  <c r="F4" i="14" s="1"/>
  <c r="G4" i="14" s="1"/>
  <c r="H4" i="14" s="1"/>
  <c r="I4" i="14" s="1"/>
  <c r="J4" i="14" s="1"/>
  <c r="K4" i="14" s="1"/>
  <c r="L4" i="14" s="1"/>
  <c r="D33" i="13"/>
  <c r="E33" i="13" s="1"/>
  <c r="F33" i="13" s="1"/>
  <c r="G33" i="13" s="1"/>
  <c r="H33" i="13" s="1"/>
  <c r="I33" i="13" s="1"/>
  <c r="J33" i="13" s="1"/>
  <c r="K33" i="13" s="1"/>
  <c r="L33" i="13" s="1"/>
  <c r="D32" i="13"/>
  <c r="E32" i="13" s="1"/>
  <c r="F32" i="13" s="1"/>
  <c r="G32" i="13" s="1"/>
  <c r="H32" i="13" s="1"/>
  <c r="I32" i="13" s="1"/>
  <c r="J32" i="13" s="1"/>
  <c r="K32" i="13" s="1"/>
  <c r="L32" i="13" s="1"/>
  <c r="D31" i="13"/>
  <c r="E31" i="13" s="1"/>
  <c r="F31" i="13" s="1"/>
  <c r="G31" i="13" s="1"/>
  <c r="H31" i="13" s="1"/>
  <c r="I31" i="13" s="1"/>
  <c r="J31" i="13" s="1"/>
  <c r="K31" i="13" s="1"/>
  <c r="L31" i="13" s="1"/>
  <c r="D30" i="13"/>
  <c r="E30" i="13" s="1"/>
  <c r="F30" i="13" s="1"/>
  <c r="G30" i="13" s="1"/>
  <c r="H30" i="13" s="1"/>
  <c r="I30" i="13" s="1"/>
  <c r="J30" i="13" s="1"/>
  <c r="K30" i="13" s="1"/>
  <c r="L30" i="13" s="1"/>
  <c r="D29" i="13"/>
  <c r="E29" i="13" s="1"/>
  <c r="F29" i="13" s="1"/>
  <c r="G29" i="13" s="1"/>
  <c r="H29" i="13" s="1"/>
  <c r="I29" i="13" s="1"/>
  <c r="J29" i="13" s="1"/>
  <c r="K29" i="13" s="1"/>
  <c r="L29" i="13" s="1"/>
  <c r="D28" i="13"/>
  <c r="E28" i="13" s="1"/>
  <c r="F28" i="13" s="1"/>
  <c r="G28" i="13" s="1"/>
  <c r="H28" i="13" s="1"/>
  <c r="I28" i="13" s="1"/>
  <c r="J28" i="13" s="1"/>
  <c r="K28" i="13" s="1"/>
  <c r="L28" i="13" s="1"/>
  <c r="E17" i="13"/>
  <c r="F17" i="13" s="1"/>
  <c r="G17" i="13" s="1"/>
  <c r="H17" i="13" s="1"/>
  <c r="I17" i="13" s="1"/>
  <c r="J17" i="13" s="1"/>
  <c r="K17" i="13" s="1"/>
  <c r="L17" i="13" s="1"/>
  <c r="E16" i="13"/>
  <c r="F16" i="13" s="1"/>
  <c r="G16" i="13" s="1"/>
  <c r="H16" i="13" s="1"/>
  <c r="I16" i="13" s="1"/>
  <c r="J16" i="13" s="1"/>
  <c r="K16" i="13" s="1"/>
  <c r="L16" i="13" s="1"/>
  <c r="E15" i="13"/>
  <c r="F15" i="13" s="1"/>
  <c r="G15" i="13" s="1"/>
  <c r="H15" i="13" s="1"/>
  <c r="I15" i="13" s="1"/>
  <c r="J15" i="13" s="1"/>
  <c r="K15" i="13" s="1"/>
  <c r="L15" i="13" s="1"/>
  <c r="D14" i="13"/>
  <c r="E14" i="13" s="1"/>
  <c r="F14" i="13" s="1"/>
  <c r="G14" i="13" s="1"/>
  <c r="H14" i="13" s="1"/>
  <c r="I14" i="13" s="1"/>
  <c r="J14" i="13" s="1"/>
  <c r="K14" i="13" s="1"/>
  <c r="L14" i="13" s="1"/>
  <c r="D13" i="13"/>
  <c r="E13" i="13" s="1"/>
  <c r="F13" i="13" s="1"/>
  <c r="G13" i="13" s="1"/>
  <c r="H13" i="13" s="1"/>
  <c r="I13" i="13" s="1"/>
  <c r="J13" i="13" s="1"/>
  <c r="K13" i="13" s="1"/>
  <c r="L13" i="13" s="1"/>
  <c r="D12" i="13"/>
  <c r="E12" i="13" s="1"/>
  <c r="F12" i="13" s="1"/>
  <c r="G12" i="13" s="1"/>
  <c r="H12" i="13" s="1"/>
  <c r="I12" i="13" s="1"/>
  <c r="J12" i="13" s="1"/>
  <c r="K12" i="13" s="1"/>
  <c r="L12" i="13" s="1"/>
  <c r="F18" i="17" l="1"/>
  <c r="L18" i="17"/>
  <c r="J18" i="17"/>
  <c r="E18" i="17"/>
  <c r="H18" i="17"/>
  <c r="I18" i="17"/>
  <c r="K18" i="17"/>
  <c r="G18" i="17"/>
  <c r="G6" i="17"/>
  <c r="H6" i="17" l="1"/>
  <c r="E4" i="13"/>
  <c r="F4" i="13" s="1"/>
  <c r="G4" i="13" s="1"/>
  <c r="H4" i="13" s="1"/>
  <c r="I4" i="13" s="1"/>
  <c r="J4" i="13" s="1"/>
  <c r="K4" i="13" s="1"/>
  <c r="L4" i="13" s="1"/>
  <c r="I6" i="17" l="1"/>
  <c r="B44" i="12"/>
  <c r="B43" i="12"/>
  <c r="B42" i="12"/>
  <c r="D37" i="12"/>
  <c r="E37" i="12" s="1"/>
  <c r="F37" i="12" s="1"/>
  <c r="G37" i="12" s="1"/>
  <c r="H37" i="12" s="1"/>
  <c r="I37" i="12" s="1"/>
  <c r="J37" i="12" s="1"/>
  <c r="K37" i="12" s="1"/>
  <c r="L37" i="12" s="1"/>
  <c r="B39" i="12"/>
  <c r="B38" i="12"/>
  <c r="B37" i="12"/>
  <c r="B34" i="12"/>
  <c r="B33" i="12"/>
  <c r="B32" i="12"/>
  <c r="B29" i="12"/>
  <c r="B28" i="12"/>
  <c r="B27" i="12"/>
  <c r="B24" i="12"/>
  <c r="B23" i="12"/>
  <c r="B22" i="12"/>
  <c r="F12" i="12"/>
  <c r="E12" i="12"/>
  <c r="E7" i="12"/>
  <c r="F7" i="12" s="1"/>
  <c r="G7" i="12" s="1"/>
  <c r="H7" i="12" s="1"/>
  <c r="I7" i="12" s="1"/>
  <c r="J7" i="12" s="1"/>
  <c r="K7" i="12" s="1"/>
  <c r="L7" i="12" s="1"/>
  <c r="E8" i="12"/>
  <c r="F8" i="12" s="1"/>
  <c r="G8" i="12" s="1"/>
  <c r="H8" i="12" s="1"/>
  <c r="I8" i="12" s="1"/>
  <c r="J8" i="12" s="1"/>
  <c r="K8" i="12" s="1"/>
  <c r="L8" i="12" s="1"/>
  <c r="D9" i="12"/>
  <c r="F6" i="16" s="1"/>
  <c r="D8" i="12"/>
  <c r="E6" i="16" s="1"/>
  <c r="D7" i="12"/>
  <c r="D6" i="16" s="1"/>
  <c r="D7" i="16" s="1"/>
  <c r="F3" i="12"/>
  <c r="G3" i="12" s="1"/>
  <c r="H3" i="12" s="1"/>
  <c r="I3" i="12" s="1"/>
  <c r="J3" i="12" s="1"/>
  <c r="K3" i="12" s="1"/>
  <c r="L3" i="12" s="1"/>
  <c r="E3" i="12"/>
  <c r="B19" i="12"/>
  <c r="B18" i="12"/>
  <c r="B17" i="12"/>
  <c r="B14" i="12"/>
  <c r="B13" i="12"/>
  <c r="B12" i="12"/>
  <c r="E12" i="11"/>
  <c r="E13" i="11" s="1"/>
  <c r="D12" i="11"/>
  <c r="D13" i="11" s="1"/>
  <c r="C12" i="11"/>
  <c r="C13" i="11" s="1"/>
  <c r="J21" i="10"/>
  <c r="J20" i="10"/>
  <c r="C21" i="10"/>
  <c r="C20" i="10"/>
  <c r="C19" i="10"/>
  <c r="E9" i="12" l="1"/>
  <c r="F9" i="12" s="1"/>
  <c r="G9" i="12" s="1"/>
  <c r="H9" i="12" s="1"/>
  <c r="I9" i="12" s="1"/>
  <c r="J9" i="12" s="1"/>
  <c r="K9" i="12" s="1"/>
  <c r="L9" i="12" s="1"/>
  <c r="G12" i="12"/>
  <c r="G10" i="16" s="1"/>
  <c r="G12" i="16" s="1"/>
  <c r="G16" i="16" s="1"/>
  <c r="F10" i="16"/>
  <c r="F12" i="16" s="1"/>
  <c r="F16" i="16" s="1"/>
  <c r="E17" i="12"/>
  <c r="E27" i="12" s="1"/>
  <c r="F22" i="12" s="1"/>
  <c r="E10" i="16"/>
  <c r="E12" i="16" s="1"/>
  <c r="E16" i="16" s="1"/>
  <c r="D13" i="12"/>
  <c r="D18" i="12" s="1"/>
  <c r="D28" i="12" s="1"/>
  <c r="E23" i="12" s="1"/>
  <c r="D10" i="16"/>
  <c r="D12" i="16" s="1"/>
  <c r="D16" i="16" s="1"/>
  <c r="J6" i="17"/>
  <c r="F13" i="12"/>
  <c r="F14" i="12" s="1"/>
  <c r="F19" i="12" s="1"/>
  <c r="F29" i="12" s="1"/>
  <c r="G24" i="12" s="1"/>
  <c r="E13" i="12"/>
  <c r="E14" i="12" s="1"/>
  <c r="E19" i="12" s="1"/>
  <c r="E29" i="12" s="1"/>
  <c r="F24" i="12" s="1"/>
  <c r="F17" i="12"/>
  <c r="F27" i="12" s="1"/>
  <c r="G22" i="12" s="1"/>
  <c r="D17" i="12"/>
  <c r="C39" i="10"/>
  <c r="C36" i="10"/>
  <c r="I26" i="10"/>
  <c r="H26" i="10"/>
  <c r="G26" i="10"/>
  <c r="F26" i="10"/>
  <c r="E26" i="10"/>
  <c r="D26" i="10"/>
  <c r="C18" i="10"/>
  <c r="I18" i="10" s="1"/>
  <c r="E14" i="10"/>
  <c r="F14" i="10" s="1"/>
  <c r="G14" i="10" s="1"/>
  <c r="H14" i="10" s="1"/>
  <c r="I14" i="10" s="1"/>
  <c r="J10" i="10"/>
  <c r="J9" i="10"/>
  <c r="J6" i="10"/>
  <c r="J5" i="10"/>
  <c r="I11" i="10"/>
  <c r="J11" i="10" s="1"/>
  <c r="I10" i="10"/>
  <c r="I9" i="10"/>
  <c r="I8" i="10"/>
  <c r="J8" i="10" s="1"/>
  <c r="I7" i="10"/>
  <c r="J7" i="10" s="1"/>
  <c r="I5" i="10"/>
  <c r="I6" i="10"/>
  <c r="F4" i="10"/>
  <c r="G4" i="10" s="1"/>
  <c r="H4" i="10" s="1"/>
  <c r="I4" i="10" s="1"/>
  <c r="E4" i="10"/>
  <c r="C8" i="9"/>
  <c r="C7" i="9"/>
  <c r="C6" i="9"/>
  <c r="F6" i="9" s="1"/>
  <c r="D27" i="12" l="1"/>
  <c r="E22" i="12" s="1"/>
  <c r="E32" i="12" s="1"/>
  <c r="E42" i="12" s="1"/>
  <c r="D14" i="12"/>
  <c r="D19" i="12" s="1"/>
  <c r="F18" i="12"/>
  <c r="G13" i="12"/>
  <c r="G14" i="12" s="1"/>
  <c r="G19" i="12" s="1"/>
  <c r="G29" i="12" s="1"/>
  <c r="H24" i="12" s="1"/>
  <c r="G17" i="12"/>
  <c r="D33" i="12"/>
  <c r="D8" i="13"/>
  <c r="H12" i="12"/>
  <c r="H10" i="16" s="1"/>
  <c r="H12" i="16" s="1"/>
  <c r="H16" i="16" s="1"/>
  <c r="E9" i="13"/>
  <c r="E22" i="13" s="1"/>
  <c r="F34" i="12"/>
  <c r="F9" i="13"/>
  <c r="F22" i="13" s="1"/>
  <c r="D7" i="13"/>
  <c r="E18" i="16"/>
  <c r="E20" i="16" s="1"/>
  <c r="G28" i="6" s="1"/>
  <c r="D18" i="16"/>
  <c r="D20" i="16" s="1"/>
  <c r="F28" i="6" s="1"/>
  <c r="F32" i="12"/>
  <c r="F42" i="12" s="1"/>
  <c r="F7" i="13"/>
  <c r="E7" i="13"/>
  <c r="F18" i="16"/>
  <c r="F20" i="16" s="1"/>
  <c r="H28" i="6" s="1"/>
  <c r="G18" i="16"/>
  <c r="G20" i="16" s="1"/>
  <c r="I28" i="6" s="1"/>
  <c r="K6" i="17"/>
  <c r="E18" i="12"/>
  <c r="E28" i="12" s="1"/>
  <c r="F23" i="12" s="1"/>
  <c r="C11" i="9"/>
  <c r="C15" i="10"/>
  <c r="E15" i="10" s="1"/>
  <c r="E8" i="9"/>
  <c r="E7" i="9"/>
  <c r="E9" i="9"/>
  <c r="C22" i="10"/>
  <c r="G22" i="10" s="1"/>
  <c r="C16" i="10"/>
  <c r="I16" i="10" s="1"/>
  <c r="C17" i="10"/>
  <c r="I17" i="10" s="1"/>
  <c r="G18" i="10"/>
  <c r="D18" i="10"/>
  <c r="E18" i="10"/>
  <c r="F18" i="10"/>
  <c r="H18" i="10"/>
  <c r="L8" i="8"/>
  <c r="K8" i="8"/>
  <c r="J8" i="8"/>
  <c r="I8" i="8"/>
  <c r="H8" i="8"/>
  <c r="G8" i="8"/>
  <c r="F8" i="8"/>
  <c r="E8" i="8"/>
  <c r="D8" i="8"/>
  <c r="L7" i="8"/>
  <c r="K7" i="8"/>
  <c r="J7" i="8"/>
  <c r="I7" i="8"/>
  <c r="H7" i="8"/>
  <c r="G7" i="8"/>
  <c r="F7" i="8"/>
  <c r="E7" i="8"/>
  <c r="D7" i="8"/>
  <c r="F7" i="7"/>
  <c r="G7" i="7" s="1"/>
  <c r="H7" i="7" s="1"/>
  <c r="I7" i="7" s="1"/>
  <c r="J7" i="7" s="1"/>
  <c r="K7" i="7" s="1"/>
  <c r="L7" i="7" s="1"/>
  <c r="M7" i="7" s="1"/>
  <c r="N7" i="7" s="1"/>
  <c r="N6" i="7"/>
  <c r="M6" i="7"/>
  <c r="L6" i="7"/>
  <c r="K6" i="7"/>
  <c r="J6" i="7"/>
  <c r="I6" i="7"/>
  <c r="H6" i="7"/>
  <c r="G6" i="7"/>
  <c r="F6" i="7"/>
  <c r="N8" i="6"/>
  <c r="M8" i="6"/>
  <c r="L8" i="6"/>
  <c r="K8" i="6"/>
  <c r="J8" i="6"/>
  <c r="I8" i="6"/>
  <c r="H8" i="6"/>
  <c r="G8" i="6"/>
  <c r="F8" i="6"/>
  <c r="N7" i="6"/>
  <c r="M7" i="6"/>
  <c r="L7" i="6"/>
  <c r="K7" i="6"/>
  <c r="J7" i="6"/>
  <c r="I7" i="6"/>
  <c r="H7" i="6"/>
  <c r="G7" i="6"/>
  <c r="F7" i="6"/>
  <c r="N6" i="6"/>
  <c r="M6" i="6"/>
  <c r="L6" i="6"/>
  <c r="K6" i="6"/>
  <c r="J6" i="6"/>
  <c r="I6" i="6"/>
  <c r="H6" i="6"/>
  <c r="G6" i="6"/>
  <c r="F6" i="6"/>
  <c r="E38" i="13" l="1"/>
  <c r="E52" i="12"/>
  <c r="F38" i="13"/>
  <c r="F52" i="12"/>
  <c r="F28" i="12"/>
  <c r="G23" i="12" s="1"/>
  <c r="D29" i="12"/>
  <c r="E24" i="12" s="1"/>
  <c r="E34" i="12" s="1"/>
  <c r="G27" i="12"/>
  <c r="H22" i="12" s="1"/>
  <c r="G7" i="13"/>
  <c r="G20" i="13" s="1"/>
  <c r="D32" i="12"/>
  <c r="D42" i="12" s="1"/>
  <c r="D9" i="13"/>
  <c r="D22" i="13" s="1"/>
  <c r="G18" i="12"/>
  <c r="F8" i="13"/>
  <c r="H13" i="12"/>
  <c r="H14" i="12" s="1"/>
  <c r="H19" i="12" s="1"/>
  <c r="H29" i="12" s="1"/>
  <c r="I24" i="12" s="1"/>
  <c r="H18" i="16"/>
  <c r="H20" i="16" s="1"/>
  <c r="J28" i="6" s="1"/>
  <c r="E33" i="12"/>
  <c r="E8" i="13"/>
  <c r="H17" i="12"/>
  <c r="H27" i="12" s="1"/>
  <c r="I22" i="12" s="1"/>
  <c r="E20" i="13"/>
  <c r="E7" i="14"/>
  <c r="F20" i="13"/>
  <c r="F7" i="14"/>
  <c r="F21" i="13"/>
  <c r="F8" i="14"/>
  <c r="D7" i="14"/>
  <c r="D20" i="13"/>
  <c r="I12" i="12"/>
  <c r="I10" i="16" s="1"/>
  <c r="I12" i="16" s="1"/>
  <c r="I16" i="16" s="1"/>
  <c r="G34" i="12"/>
  <c r="G9" i="13"/>
  <c r="G22" i="13" s="1"/>
  <c r="D21" i="13"/>
  <c r="D8" i="14"/>
  <c r="L6" i="17"/>
  <c r="F16" i="10"/>
  <c r="G15" i="10"/>
  <c r="D15" i="10"/>
  <c r="F15" i="10"/>
  <c r="H15" i="10"/>
  <c r="I15" i="10"/>
  <c r="D16" i="10"/>
  <c r="E22" i="10"/>
  <c r="I22" i="10"/>
  <c r="E16" i="10"/>
  <c r="F17" i="10"/>
  <c r="H22" i="10"/>
  <c r="E11" i="9"/>
  <c r="F11" i="9" s="1"/>
  <c r="D22" i="10"/>
  <c r="F22" i="10"/>
  <c r="E17" i="10"/>
  <c r="G17" i="10"/>
  <c r="G16" i="10"/>
  <c r="H16" i="10"/>
  <c r="H17" i="10"/>
  <c r="D17" i="10"/>
  <c r="J18" i="10"/>
  <c r="J15" i="10"/>
  <c r="H20" i="4"/>
  <c r="H19" i="4"/>
  <c r="H18" i="4"/>
  <c r="H17" i="4"/>
  <c r="F16" i="4"/>
  <c r="H16" i="4" s="1"/>
  <c r="F14" i="4"/>
  <c r="H14" i="4" s="1"/>
  <c r="F13" i="4"/>
  <c r="H13" i="4" s="1"/>
  <c r="H12" i="4"/>
  <c r="F11" i="4"/>
  <c r="H11" i="4" s="1"/>
  <c r="F10" i="4"/>
  <c r="H10" i="4" s="1"/>
  <c r="F9" i="4"/>
  <c r="H9" i="4" s="1"/>
  <c r="F8" i="4"/>
  <c r="H8" i="4" s="1"/>
  <c r="F7" i="4"/>
  <c r="H7" i="4" s="1"/>
  <c r="F6" i="4"/>
  <c r="H6" i="4" s="1"/>
  <c r="H5" i="4"/>
  <c r="B5" i="4"/>
  <c r="B6" i="4" s="1"/>
  <c r="B7" i="4" s="1"/>
  <c r="B8" i="4" s="1"/>
  <c r="B9" i="4" s="1"/>
  <c r="B10" i="4" s="1"/>
  <c r="B11" i="4" s="1"/>
  <c r="B12" i="4" s="1"/>
  <c r="B13" i="4" s="1"/>
  <c r="B14" i="4" s="1"/>
  <c r="H4" i="4"/>
  <c r="D16" i="3"/>
  <c r="D15" i="3"/>
  <c r="B44" i="2"/>
  <c r="B43" i="2"/>
  <c r="B42" i="2"/>
  <c r="B41" i="2"/>
  <c r="B40" i="2"/>
  <c r="B39" i="2"/>
  <c r="D34" i="2"/>
  <c r="D33" i="2"/>
  <c r="D32" i="2"/>
  <c r="D26" i="2"/>
  <c r="D7" i="2"/>
  <c r="C33" i="10" s="1"/>
  <c r="C20" i="9" s="1"/>
  <c r="B10" i="1"/>
  <c r="B11" i="1" s="1"/>
  <c r="B12" i="1" s="1"/>
  <c r="B13" i="1" s="1"/>
  <c r="G7" i="14" l="1"/>
  <c r="K24" i="13"/>
  <c r="K40" i="13" s="1"/>
  <c r="K25" i="13"/>
  <c r="K41" i="13" s="1"/>
  <c r="E24" i="13"/>
  <c r="E40" i="13" s="1"/>
  <c r="F24" i="13"/>
  <c r="F40" i="13" s="1"/>
  <c r="L25" i="13"/>
  <c r="L41" i="13" s="1"/>
  <c r="H24" i="13"/>
  <c r="H40" i="13" s="1"/>
  <c r="D24" i="13"/>
  <c r="D40" i="13" s="1"/>
  <c r="F33" i="12"/>
  <c r="G23" i="13"/>
  <c r="G39" i="13" s="1"/>
  <c r="E36" i="13"/>
  <c r="E50" i="12"/>
  <c r="D34" i="12"/>
  <c r="F23" i="13"/>
  <c r="F39" i="13" s="1"/>
  <c r="I24" i="13"/>
  <c r="I40" i="13" s="1"/>
  <c r="L23" i="13"/>
  <c r="L39" i="13" s="1"/>
  <c r="H23" i="13"/>
  <c r="H39" i="13" s="1"/>
  <c r="L24" i="13"/>
  <c r="L40" i="13" s="1"/>
  <c r="D38" i="13"/>
  <c r="D52" i="12"/>
  <c r="J25" i="13"/>
  <c r="J41" i="13" s="1"/>
  <c r="E25" i="13"/>
  <c r="E41" i="13" s="1"/>
  <c r="I25" i="13"/>
  <c r="I41" i="13" s="1"/>
  <c r="G36" i="13"/>
  <c r="G50" i="12"/>
  <c r="G24" i="13"/>
  <c r="G40" i="13" s="1"/>
  <c r="F25" i="13"/>
  <c r="F41" i="13" s="1"/>
  <c r="D25" i="13"/>
  <c r="D41" i="13" s="1"/>
  <c r="F37" i="13"/>
  <c r="F51" i="12"/>
  <c r="G28" i="12"/>
  <c r="H23" i="12" s="1"/>
  <c r="D37" i="13"/>
  <c r="D51" i="12"/>
  <c r="D23" i="13"/>
  <c r="D39" i="13" s="1"/>
  <c r="E23" i="13"/>
  <c r="E39" i="13" s="1"/>
  <c r="J23" i="13"/>
  <c r="J39" i="13" s="1"/>
  <c r="I23" i="13"/>
  <c r="I39" i="13" s="1"/>
  <c r="G38" i="13"/>
  <c r="G52" i="12"/>
  <c r="D36" i="13"/>
  <c r="D50" i="12"/>
  <c r="K23" i="13"/>
  <c r="K39" i="13" s="1"/>
  <c r="J24" i="13"/>
  <c r="J40" i="13" s="1"/>
  <c r="G25" i="13"/>
  <c r="G41" i="13" s="1"/>
  <c r="H25" i="13"/>
  <c r="H41" i="13" s="1"/>
  <c r="F36" i="13"/>
  <c r="F50" i="12"/>
  <c r="G32" i="12"/>
  <c r="G42" i="12" s="1"/>
  <c r="J12" i="12"/>
  <c r="J10" i="16" s="1"/>
  <c r="J12" i="16" s="1"/>
  <c r="J16" i="16" s="1"/>
  <c r="J18" i="16" s="1"/>
  <c r="J20" i="16" s="1"/>
  <c r="L28" i="6" s="1"/>
  <c r="I13" i="12"/>
  <c r="I14" i="12" s="1"/>
  <c r="I19" i="12" s="1"/>
  <c r="I29" i="12" s="1"/>
  <c r="J24" i="12" s="1"/>
  <c r="I17" i="12"/>
  <c r="G8" i="13"/>
  <c r="H34" i="12"/>
  <c r="H9" i="13"/>
  <c r="H22" i="13" s="1"/>
  <c r="I7" i="13"/>
  <c r="D9" i="14"/>
  <c r="D13" i="14" s="1"/>
  <c r="F27" i="6" s="1"/>
  <c r="D15" i="21" s="1"/>
  <c r="D26" i="21" s="1"/>
  <c r="H32" i="12"/>
  <c r="H42" i="12" s="1"/>
  <c r="H7" i="13"/>
  <c r="E21" i="13"/>
  <c r="E8" i="14"/>
  <c r="E9" i="14" s="1"/>
  <c r="E13" i="14" s="1"/>
  <c r="G27" i="6" s="1"/>
  <c r="E15" i="21" s="1"/>
  <c r="H18" i="12"/>
  <c r="H28" i="12" s="1"/>
  <c r="I23" i="12" s="1"/>
  <c r="I18" i="16"/>
  <c r="I20" i="16" s="1"/>
  <c r="K28" i="6" s="1"/>
  <c r="F9" i="14"/>
  <c r="F13" i="14" s="1"/>
  <c r="H27" i="6" s="1"/>
  <c r="F15" i="21" s="1"/>
  <c r="G21" i="13"/>
  <c r="G8" i="14"/>
  <c r="G9" i="14" s="1"/>
  <c r="G13" i="14" s="1"/>
  <c r="I27" i="6" s="1"/>
  <c r="G15" i="21" s="1"/>
  <c r="M6" i="17"/>
  <c r="D25" i="2"/>
  <c r="D38" i="12" s="1"/>
  <c r="D39" i="12"/>
  <c r="J17" i="10"/>
  <c r="J22" i="10"/>
  <c r="J16" i="10"/>
  <c r="E13" i="9"/>
  <c r="H21" i="4"/>
  <c r="H22" i="4" s="1"/>
  <c r="I18" i="12" l="1"/>
  <c r="I28" i="12" s="1"/>
  <c r="J23" i="12" s="1"/>
  <c r="G26" i="21"/>
  <c r="I82" i="7"/>
  <c r="J13" i="12"/>
  <c r="F26" i="21"/>
  <c r="H82" i="7"/>
  <c r="F54" i="12"/>
  <c r="E26" i="21"/>
  <c r="G82" i="7"/>
  <c r="J17" i="12"/>
  <c r="J27" i="12" s="1"/>
  <c r="K22" i="12" s="1"/>
  <c r="K12" i="12"/>
  <c r="K10" i="16" s="1"/>
  <c r="K12" i="16" s="1"/>
  <c r="K16" i="16" s="1"/>
  <c r="K18" i="16" s="1"/>
  <c r="K20" i="16" s="1"/>
  <c r="M28" i="6" s="1"/>
  <c r="F42" i="13"/>
  <c r="D42" i="13"/>
  <c r="D54" i="12"/>
  <c r="H38" i="13"/>
  <c r="H52" i="12"/>
  <c r="G33" i="12"/>
  <c r="G37" i="13"/>
  <c r="G42" i="13" s="1"/>
  <c r="I23" i="6" s="1"/>
  <c r="G9" i="21" s="1"/>
  <c r="I76" i="7" s="1"/>
  <c r="G51" i="12"/>
  <c r="G54" i="12" s="1"/>
  <c r="I27" i="12"/>
  <c r="J22" i="12" s="1"/>
  <c r="J32" i="12" s="1"/>
  <c r="J42" i="12" s="1"/>
  <c r="E37" i="13"/>
  <c r="E42" i="13" s="1"/>
  <c r="G23" i="6" s="1"/>
  <c r="E51" i="12"/>
  <c r="E54" i="12" s="1"/>
  <c r="H33" i="12"/>
  <c r="H8" i="13"/>
  <c r="I33" i="12"/>
  <c r="I8" i="13"/>
  <c r="I34" i="12"/>
  <c r="I9" i="13"/>
  <c r="I22" i="13" s="1"/>
  <c r="F23" i="6"/>
  <c r="H23" i="6"/>
  <c r="H20" i="13"/>
  <c r="H7" i="14"/>
  <c r="I20" i="13"/>
  <c r="I7" i="14"/>
  <c r="J7" i="13"/>
  <c r="E39" i="12"/>
  <c r="D44" i="12"/>
  <c r="J14" i="12"/>
  <c r="J19" i="12" s="1"/>
  <c r="J29" i="12" s="1"/>
  <c r="K24" i="12" s="1"/>
  <c r="J18" i="12"/>
  <c r="J28" i="12" s="1"/>
  <c r="K23" i="12" s="1"/>
  <c r="K13" i="12"/>
  <c r="E38" i="12"/>
  <c r="D43" i="12"/>
  <c r="H19" i="10"/>
  <c r="F19" i="10"/>
  <c r="I19" i="10"/>
  <c r="D19" i="10"/>
  <c r="E19" i="10"/>
  <c r="G19" i="10"/>
  <c r="K17" i="12" l="1"/>
  <c r="K27" i="12" s="1"/>
  <c r="L22" i="12" s="1"/>
  <c r="L12" i="12"/>
  <c r="L10" i="16" s="1"/>
  <c r="L12" i="16" s="1"/>
  <c r="L16" i="16" s="1"/>
  <c r="L18" i="16" s="1"/>
  <c r="L20" i="16" s="1"/>
  <c r="N28" i="6" s="1"/>
  <c r="I32" i="12"/>
  <c r="I42" i="12" s="1"/>
  <c r="H36" i="13"/>
  <c r="H50" i="12"/>
  <c r="I38" i="13"/>
  <c r="I52" i="12"/>
  <c r="I36" i="13"/>
  <c r="I50" i="12"/>
  <c r="H21" i="13"/>
  <c r="H8" i="14"/>
  <c r="H9" i="14" s="1"/>
  <c r="H13" i="14" s="1"/>
  <c r="J27" i="6" s="1"/>
  <c r="H15" i="21" s="1"/>
  <c r="G45" i="13"/>
  <c r="H44" i="13" s="1"/>
  <c r="G24" i="21"/>
  <c r="F9" i="21"/>
  <c r="H76" i="7" s="1"/>
  <c r="J33" i="12"/>
  <c r="J8" i="13"/>
  <c r="J20" i="13"/>
  <c r="J7" i="14"/>
  <c r="D9" i="21"/>
  <c r="F76" i="7" s="1"/>
  <c r="I21" i="13"/>
  <c r="I8" i="14"/>
  <c r="I9" i="14" s="1"/>
  <c r="I13" i="14" s="1"/>
  <c r="K27" i="6" s="1"/>
  <c r="I15" i="21" s="1"/>
  <c r="J34" i="12"/>
  <c r="J9" i="13"/>
  <c r="J22" i="13" s="1"/>
  <c r="E9" i="21"/>
  <c r="G76" i="7" s="1"/>
  <c r="K14" i="12"/>
  <c r="K19" i="12" s="1"/>
  <c r="K29" i="12" s="1"/>
  <c r="L24" i="12" s="1"/>
  <c r="K18" i="12"/>
  <c r="K28" i="12" s="1"/>
  <c r="L23" i="12" s="1"/>
  <c r="D46" i="12"/>
  <c r="F12" i="6" s="1"/>
  <c r="F38" i="12"/>
  <c r="E43" i="12"/>
  <c r="F39" i="12"/>
  <c r="E44" i="12"/>
  <c r="J19" i="10"/>
  <c r="K7" i="13" l="1"/>
  <c r="K32" i="12"/>
  <c r="K42" i="12" s="1"/>
  <c r="L13" i="12"/>
  <c r="L17" i="12"/>
  <c r="L27" i="12" s="1"/>
  <c r="I26" i="21"/>
  <c r="K82" i="7"/>
  <c r="F20" i="7"/>
  <c r="H26" i="21"/>
  <c r="J82" i="7"/>
  <c r="I37" i="13"/>
  <c r="I42" i="13" s="1"/>
  <c r="K23" i="6" s="1"/>
  <c r="I9" i="21" s="1"/>
  <c r="K76" i="7" s="1"/>
  <c r="I51" i="12"/>
  <c r="I54" i="12" s="1"/>
  <c r="J36" i="13"/>
  <c r="J50" i="12"/>
  <c r="H37" i="13"/>
  <c r="H42" i="13" s="1"/>
  <c r="J23" i="6" s="1"/>
  <c r="H9" i="21" s="1"/>
  <c r="J76" i="7" s="1"/>
  <c r="H51" i="12"/>
  <c r="H54" i="12" s="1"/>
  <c r="J38" i="13"/>
  <c r="J52" i="12"/>
  <c r="F14" i="6"/>
  <c r="L32" i="12"/>
  <c r="L42" i="12" s="1"/>
  <c r="L7" i="13"/>
  <c r="D24" i="21"/>
  <c r="D45" i="13"/>
  <c r="K34" i="12"/>
  <c r="K9" i="13"/>
  <c r="K22" i="13" s="1"/>
  <c r="F24" i="21"/>
  <c r="F45" i="13"/>
  <c r="E24" i="21"/>
  <c r="E45" i="13"/>
  <c r="K20" i="13"/>
  <c r="K7" i="14"/>
  <c r="K33" i="12"/>
  <c r="K8" i="13"/>
  <c r="J21" i="13"/>
  <c r="J8" i="14"/>
  <c r="J9" i="14" s="1"/>
  <c r="J13" i="14" s="1"/>
  <c r="L27" i="6" s="1"/>
  <c r="J15" i="21" s="1"/>
  <c r="L14" i="12"/>
  <c r="L19" i="12" s="1"/>
  <c r="L29" i="12" s="1"/>
  <c r="L18" i="12"/>
  <c r="L28" i="12" s="1"/>
  <c r="G39" i="12"/>
  <c r="F44" i="12"/>
  <c r="E46" i="12"/>
  <c r="G12" i="6" s="1"/>
  <c r="G40" i="6" s="1"/>
  <c r="G38" i="12"/>
  <c r="F43" i="12"/>
  <c r="J26" i="21" l="1"/>
  <c r="L82" i="7"/>
  <c r="G20" i="7"/>
  <c r="D18" i="21"/>
  <c r="J37" i="13"/>
  <c r="J42" i="13" s="1"/>
  <c r="L23" i="6" s="1"/>
  <c r="J9" i="21" s="1"/>
  <c r="L76" i="7" s="1"/>
  <c r="J51" i="12"/>
  <c r="J54" i="12" s="1"/>
  <c r="K38" i="13"/>
  <c r="K52" i="12"/>
  <c r="K36" i="13"/>
  <c r="K50" i="12"/>
  <c r="F17" i="6"/>
  <c r="G14" i="6"/>
  <c r="G17" i="6" s="1"/>
  <c r="F46" i="12"/>
  <c r="H12" i="6" s="1"/>
  <c r="E44" i="13"/>
  <c r="E46" i="13" s="1"/>
  <c r="D46" i="13"/>
  <c r="L34" i="12"/>
  <c r="L9" i="13"/>
  <c r="L22" i="13" s="1"/>
  <c r="L20" i="13"/>
  <c r="L7" i="14"/>
  <c r="G44" i="13"/>
  <c r="G46" i="13" s="1"/>
  <c r="H24" i="21"/>
  <c r="H45" i="13"/>
  <c r="F44" i="13"/>
  <c r="F46" i="13" s="1"/>
  <c r="I45" i="13"/>
  <c r="I24" i="21"/>
  <c r="L33" i="12"/>
  <c r="L8" i="13"/>
  <c r="K21" i="13"/>
  <c r="K8" i="14"/>
  <c r="K9" i="14" s="1"/>
  <c r="K13" i="14" s="1"/>
  <c r="M27" i="6" s="1"/>
  <c r="K15" i="21" s="1"/>
  <c r="H39" i="12"/>
  <c r="G44" i="12"/>
  <c r="H38" i="12"/>
  <c r="G43" i="12"/>
  <c r="H20" i="7" l="1"/>
  <c r="H40" i="6"/>
  <c r="K26" i="21"/>
  <c r="M82" i="7"/>
  <c r="D27" i="21"/>
  <c r="F66" i="7"/>
  <c r="D27" i="8" s="1"/>
  <c r="F30" i="21"/>
  <c r="H17" i="7" s="1"/>
  <c r="H83" i="7"/>
  <c r="D30" i="21"/>
  <c r="F17" i="7" s="1"/>
  <c r="F83" i="7"/>
  <c r="G30" i="21"/>
  <c r="I17" i="7" s="1"/>
  <c r="I83" i="7"/>
  <c r="E30" i="21"/>
  <c r="G17" i="7" s="1"/>
  <c r="G83" i="7"/>
  <c r="G15" i="6"/>
  <c r="K37" i="13"/>
  <c r="K42" i="13" s="1"/>
  <c r="M23" i="6" s="1"/>
  <c r="K9" i="21" s="1"/>
  <c r="M76" i="7" s="1"/>
  <c r="K51" i="12"/>
  <c r="K54" i="12" s="1"/>
  <c r="L36" i="13"/>
  <c r="L50" i="12"/>
  <c r="L38" i="13"/>
  <c r="L52" i="12"/>
  <c r="E18" i="21"/>
  <c r="H14" i="6"/>
  <c r="H17" i="6" s="1"/>
  <c r="G46" i="12"/>
  <c r="I12" i="6" s="1"/>
  <c r="H46" i="13"/>
  <c r="I44" i="13"/>
  <c r="I46" i="13" s="1"/>
  <c r="J44" i="13"/>
  <c r="L21" i="13"/>
  <c r="L8" i="14"/>
  <c r="L9" i="14" s="1"/>
  <c r="L13" i="14" s="1"/>
  <c r="N27" i="6" s="1"/>
  <c r="L15" i="21" s="1"/>
  <c r="J45" i="13"/>
  <c r="J24" i="21"/>
  <c r="I38" i="12"/>
  <c r="H43" i="12"/>
  <c r="I39" i="12"/>
  <c r="H44" i="12"/>
  <c r="I20" i="7" l="1"/>
  <c r="I40" i="6"/>
  <c r="L26" i="21"/>
  <c r="N82" i="7"/>
  <c r="I30" i="21"/>
  <c r="K17" i="7" s="1"/>
  <c r="K83" i="7"/>
  <c r="H30" i="21"/>
  <c r="J17" i="7" s="1"/>
  <c r="J83" i="7"/>
  <c r="E27" i="21"/>
  <c r="G66" i="7"/>
  <c r="E27" i="8" s="1"/>
  <c r="L37" i="13"/>
  <c r="L42" i="13" s="1"/>
  <c r="N23" i="6" s="1"/>
  <c r="L51" i="12"/>
  <c r="L54" i="12" s="1"/>
  <c r="H15" i="6"/>
  <c r="F18" i="21"/>
  <c r="I14" i="6"/>
  <c r="I15" i="6" s="1"/>
  <c r="J46" i="13"/>
  <c r="K44" i="13"/>
  <c r="K45" i="13"/>
  <c r="K24" i="21"/>
  <c r="H46" i="12"/>
  <c r="J12" i="6" s="1"/>
  <c r="J39" i="12"/>
  <c r="I44" i="12"/>
  <c r="J38" i="12"/>
  <c r="I43" i="12"/>
  <c r="I46" i="12" s="1"/>
  <c r="K12" i="6" s="1"/>
  <c r="J20" i="7" l="1"/>
  <c r="J40" i="6"/>
  <c r="K20" i="7"/>
  <c r="K40" i="6"/>
  <c r="J30" i="21"/>
  <c r="L17" i="7" s="1"/>
  <c r="L83" i="7"/>
  <c r="F27" i="21"/>
  <c r="H66" i="7"/>
  <c r="F27" i="8" s="1"/>
  <c r="G18" i="21"/>
  <c r="I17" i="6"/>
  <c r="K14" i="6"/>
  <c r="I18" i="21" s="1"/>
  <c r="K66" i="7" s="1"/>
  <c r="J14" i="6"/>
  <c r="J17" i="6" s="1"/>
  <c r="K46" i="13"/>
  <c r="L44" i="13"/>
  <c r="L9" i="21"/>
  <c r="N76" i="7" s="1"/>
  <c r="K38" i="12"/>
  <c r="J43" i="12"/>
  <c r="K39" i="12"/>
  <c r="J44" i="12"/>
  <c r="K30" i="21" l="1"/>
  <c r="M17" i="7" s="1"/>
  <c r="M83" i="7"/>
  <c r="G27" i="21"/>
  <c r="I66" i="7"/>
  <c r="H18" i="21"/>
  <c r="J15" i="6"/>
  <c r="K17" i="6"/>
  <c r="K15" i="6"/>
  <c r="I27" i="21"/>
  <c r="L24" i="21"/>
  <c r="L45" i="13"/>
  <c r="L46" i="13" s="1"/>
  <c r="L39" i="12"/>
  <c r="L44" i="12" s="1"/>
  <c r="K44" i="12"/>
  <c r="J46" i="12"/>
  <c r="L12" i="6" s="1"/>
  <c r="L38" i="12"/>
  <c r="L43" i="12" s="1"/>
  <c r="K43" i="12"/>
  <c r="L20" i="7" l="1"/>
  <c r="L40" i="6"/>
  <c r="L30" i="21"/>
  <c r="N17" i="7" s="1"/>
  <c r="N83" i="7"/>
  <c r="H27" i="21"/>
  <c r="J66" i="7"/>
  <c r="G27" i="8"/>
  <c r="L14" i="6"/>
  <c r="L17" i="6" s="1"/>
  <c r="K46" i="12"/>
  <c r="M12" i="6" s="1"/>
  <c r="L46" i="12"/>
  <c r="N12" i="6" s="1"/>
  <c r="M20" i="7" l="1"/>
  <c r="M40" i="6"/>
  <c r="N20" i="7"/>
  <c r="N40" i="6"/>
  <c r="N33" i="7"/>
  <c r="H27" i="8"/>
  <c r="I27" i="8"/>
  <c r="L15" i="6"/>
  <c r="J18" i="21"/>
  <c r="N14" i="6"/>
  <c r="L18" i="21" s="1"/>
  <c r="N66" i="7" s="1"/>
  <c r="M14" i="6"/>
  <c r="M17" i="6" s="1"/>
  <c r="J27" i="21" l="1"/>
  <c r="L66" i="7"/>
  <c r="J27" i="8" s="1"/>
  <c r="N15" i="6"/>
  <c r="N17" i="6"/>
  <c r="K18" i="21"/>
  <c r="M15" i="6"/>
  <c r="L27" i="21"/>
  <c r="K27" i="21" l="1"/>
  <c r="M66" i="7"/>
  <c r="G37" i="6"/>
  <c r="D28" i="21"/>
  <c r="C12" i="9" s="1"/>
  <c r="K27" i="8" l="1"/>
  <c r="L27" i="8"/>
  <c r="F12" i="9"/>
  <c r="C23" i="10"/>
  <c r="E23" i="10" l="1"/>
  <c r="E24" i="10" s="1"/>
  <c r="C24" i="10"/>
  <c r="F23" i="10"/>
  <c r="F24" i="10" s="1"/>
  <c r="H23" i="10"/>
  <c r="H24" i="10" s="1"/>
  <c r="D23" i="10"/>
  <c r="G23" i="10"/>
  <c r="G24" i="10" s="1"/>
  <c r="I23" i="10"/>
  <c r="I24" i="10" s="1"/>
  <c r="D24" i="10" l="1"/>
  <c r="D27" i="10" s="1"/>
  <c r="J23" i="10"/>
  <c r="J24" i="10" s="1"/>
  <c r="E27" i="10" l="1"/>
  <c r="D29" i="10"/>
  <c r="C39" i="22" s="1"/>
  <c r="C41" i="22" l="1"/>
  <c r="C42" i="22"/>
  <c r="C44" i="22" s="1"/>
  <c r="D36" i="10"/>
  <c r="D30" i="10"/>
  <c r="D31" i="10" s="1"/>
  <c r="F27" i="10"/>
  <c r="E29" i="10"/>
  <c r="E30" i="10" l="1"/>
  <c r="E31" i="10" s="1"/>
  <c r="C54" i="22"/>
  <c r="C47" i="22"/>
  <c r="C49" i="22" s="1"/>
  <c r="C46" i="22"/>
  <c r="E36" i="10"/>
  <c r="E37" i="10" s="1"/>
  <c r="G27" i="10"/>
  <c r="F29" i="10"/>
  <c r="D37" i="10"/>
  <c r="D9" i="22" l="1"/>
  <c r="D12" i="22" s="1"/>
  <c r="D14" i="22" s="1"/>
  <c r="F36" i="10"/>
  <c r="C51" i="22"/>
  <c r="C52" i="22"/>
  <c r="C57" i="22"/>
  <c r="C59" i="22" s="1"/>
  <c r="C56" i="22"/>
  <c r="G29" i="10"/>
  <c r="G36" i="10" s="1"/>
  <c r="H27" i="10"/>
  <c r="F30" i="10"/>
  <c r="F31" i="10" s="1"/>
  <c r="D11" i="22" l="1"/>
  <c r="C61" i="22"/>
  <c r="C62" i="22"/>
  <c r="C64" i="22" s="1"/>
  <c r="G30" i="10"/>
  <c r="G31" i="10" s="1"/>
  <c r="D24" i="22"/>
  <c r="D16" i="22"/>
  <c r="D17" i="22"/>
  <c r="D19" i="22" s="1"/>
  <c r="H29" i="10"/>
  <c r="H36" i="10" s="1"/>
  <c r="I27" i="10"/>
  <c r="G37" i="10"/>
  <c r="F37" i="10"/>
  <c r="D22" i="22" l="1"/>
  <c r="D21" i="22"/>
  <c r="D27" i="22"/>
  <c r="D29" i="22" s="1"/>
  <c r="D26" i="22"/>
  <c r="C67" i="22"/>
  <c r="C66" i="22"/>
  <c r="C69" i="22" s="1"/>
  <c r="H30" i="10"/>
  <c r="H31" i="10" s="1"/>
  <c r="D39" i="22"/>
  <c r="J27" i="10"/>
  <c r="I29" i="10"/>
  <c r="I36" i="10" s="1"/>
  <c r="J36" i="10" s="1"/>
  <c r="D42" i="22" l="1"/>
  <c r="D44" i="22" s="1"/>
  <c r="D41" i="22"/>
  <c r="I30" i="10"/>
  <c r="J30" i="10" s="1"/>
  <c r="F17" i="9" s="1"/>
  <c r="F50" i="7" s="1"/>
  <c r="D54" i="22"/>
  <c r="D31" i="22"/>
  <c r="D32" i="22"/>
  <c r="D34" i="22" s="1"/>
  <c r="H37" i="10"/>
  <c r="J29" i="10"/>
  <c r="I37" i="10"/>
  <c r="D11" i="8" l="1"/>
  <c r="G50" i="7"/>
  <c r="I31" i="10"/>
  <c r="D36" i="22"/>
  <c r="D37" i="22"/>
  <c r="D57" i="22"/>
  <c r="D59" i="22" s="1"/>
  <c r="D56" i="22"/>
  <c r="D47" i="22"/>
  <c r="D49" i="22" s="1"/>
  <c r="D46" i="22"/>
  <c r="J31" i="10"/>
  <c r="F16" i="9"/>
  <c r="F18" i="9" s="1"/>
  <c r="C21" i="9" s="1"/>
  <c r="D39" i="10"/>
  <c r="D13" i="1"/>
  <c r="E11" i="8" l="1"/>
  <c r="H50" i="7"/>
  <c r="D52" i="22"/>
  <c r="D51" i="22"/>
  <c r="D62" i="22"/>
  <c r="D64" i="22" s="1"/>
  <c r="D61" i="22"/>
  <c r="D40" i="10"/>
  <c r="D12" i="1"/>
  <c r="D16" i="1" s="1"/>
  <c r="C10" i="9" s="1"/>
  <c r="I50" i="7" l="1"/>
  <c r="F11" i="8"/>
  <c r="D67" i="22"/>
  <c r="E9" i="22" s="1"/>
  <c r="D66" i="22"/>
  <c r="D69" i="22" s="1"/>
  <c r="D73" i="22" s="1"/>
  <c r="D9" i="9"/>
  <c r="F9" i="9" s="1"/>
  <c r="C28" i="19" s="1"/>
  <c r="D8" i="9"/>
  <c r="F8" i="9" s="1"/>
  <c r="C21" i="19" s="1"/>
  <c r="C13" i="9"/>
  <c r="D7" i="9"/>
  <c r="J50" i="7" l="1"/>
  <c r="G11" i="8"/>
  <c r="E11" i="22"/>
  <c r="E12" i="22"/>
  <c r="E14" i="22" s="1"/>
  <c r="C23" i="19"/>
  <c r="C24" i="19" s="1"/>
  <c r="D10" i="9"/>
  <c r="F10" i="9" s="1"/>
  <c r="F7" i="9"/>
  <c r="C30" i="19"/>
  <c r="C31" i="19" s="1"/>
  <c r="D27" i="19" s="1"/>
  <c r="K50" i="7" l="1"/>
  <c r="H11" i="8"/>
  <c r="E16" i="22"/>
  <c r="E17" i="22"/>
  <c r="E19" i="22" s="1"/>
  <c r="D7" i="18"/>
  <c r="D11" i="18" s="1"/>
  <c r="D20" i="19"/>
  <c r="D30" i="19"/>
  <c r="D31" i="19" s="1"/>
  <c r="E27" i="19" s="1"/>
  <c r="F13" i="9"/>
  <c r="C14" i="19"/>
  <c r="C36" i="19" s="1"/>
  <c r="C37" i="19" s="1"/>
  <c r="D13" i="9"/>
  <c r="D35" i="19" l="1"/>
  <c r="D37" i="19" s="1"/>
  <c r="F90" i="7"/>
  <c r="L50" i="7"/>
  <c r="I11" i="8"/>
  <c r="E21" i="22"/>
  <c r="E22" i="22"/>
  <c r="E24" i="22" s="1"/>
  <c r="E30" i="19"/>
  <c r="E31" i="19" s="1"/>
  <c r="F27" i="19" s="1"/>
  <c r="D23" i="19"/>
  <c r="D24" i="19" s="1"/>
  <c r="C16" i="19"/>
  <c r="C33" i="19" s="1"/>
  <c r="C39" i="19" s="1"/>
  <c r="F91" i="7" l="1"/>
  <c r="E35" i="19"/>
  <c r="E37" i="19" s="1"/>
  <c r="G90" i="7"/>
  <c r="M50" i="7"/>
  <c r="J11" i="8"/>
  <c r="D26" i="8"/>
  <c r="F92" i="7"/>
  <c r="F32" i="6"/>
  <c r="E26" i="22"/>
  <c r="E27" i="22"/>
  <c r="E29" i="22" s="1"/>
  <c r="E7" i="18"/>
  <c r="E11" i="18" s="1"/>
  <c r="E20" i="19"/>
  <c r="C17" i="19"/>
  <c r="F30" i="19"/>
  <c r="F31" i="19" s="1"/>
  <c r="G27" i="19" s="1"/>
  <c r="N50" i="7" l="1"/>
  <c r="L11" i="8" s="1"/>
  <c r="K11" i="8"/>
  <c r="E26" i="8"/>
  <c r="F35" i="19"/>
  <c r="F37" i="19" s="1"/>
  <c r="H90" i="7"/>
  <c r="C7" i="23"/>
  <c r="C42" i="23" s="1"/>
  <c r="D14" i="8"/>
  <c r="E31" i="22"/>
  <c r="E32" i="22"/>
  <c r="E34" i="22" s="1"/>
  <c r="G30" i="19"/>
  <c r="G31" i="19" s="1"/>
  <c r="H27" i="19" s="1"/>
  <c r="D6" i="18"/>
  <c r="D10" i="18" s="1"/>
  <c r="D12" i="18" s="1"/>
  <c r="F31" i="6" s="1"/>
  <c r="D13" i="19"/>
  <c r="E23" i="19"/>
  <c r="E24" i="19" s="1"/>
  <c r="F26" i="8" l="1"/>
  <c r="G35" i="19"/>
  <c r="G37" i="19" s="1"/>
  <c r="I90" i="7"/>
  <c r="F33" i="6"/>
  <c r="F36" i="6" s="1"/>
  <c r="F39" i="6" s="1"/>
  <c r="F42" i="6" s="1"/>
  <c r="E37" i="22"/>
  <c r="E39" i="22" s="1"/>
  <c r="E36" i="22"/>
  <c r="F20" i="19"/>
  <c r="F7" i="18"/>
  <c r="F11" i="18" s="1"/>
  <c r="D16" i="19"/>
  <c r="D33" i="19" s="1"/>
  <c r="D39" i="19" s="1"/>
  <c r="H30" i="19"/>
  <c r="H31" i="19" s="1"/>
  <c r="I27" i="19" s="1"/>
  <c r="D38" i="21" l="1"/>
  <c r="D39" i="21" s="1"/>
  <c r="G91" i="7"/>
  <c r="G92" i="7" s="1"/>
  <c r="G26" i="8"/>
  <c r="H35" i="19"/>
  <c r="H37" i="19" s="1"/>
  <c r="J90" i="7"/>
  <c r="G32" i="6"/>
  <c r="E42" i="22"/>
  <c r="E44" i="22" s="1"/>
  <c r="E41" i="22"/>
  <c r="D21" i="21"/>
  <c r="D33" i="21" s="1"/>
  <c r="D34" i="21" s="1"/>
  <c r="F12" i="7" s="1"/>
  <c r="F15" i="7" s="1"/>
  <c r="D18" i="8" s="1"/>
  <c r="D17" i="19"/>
  <c r="E6" i="18" s="1"/>
  <c r="E10" i="18" s="1"/>
  <c r="E12" i="18" s="1"/>
  <c r="G31" i="6" s="1"/>
  <c r="G33" i="6" s="1"/>
  <c r="G36" i="6" s="1"/>
  <c r="G39" i="6" s="1"/>
  <c r="I30" i="19"/>
  <c r="I31" i="19" s="1"/>
  <c r="J27" i="19" s="1"/>
  <c r="F23" i="19"/>
  <c r="F24" i="19" s="1"/>
  <c r="D7" i="23" l="1"/>
  <c r="D42" i="23" s="1"/>
  <c r="E14" i="8"/>
  <c r="H26" i="8"/>
  <c r="I35" i="19"/>
  <c r="I37" i="19" s="1"/>
  <c r="K90" i="7"/>
  <c r="D35" i="21"/>
  <c r="F46" i="6" s="1"/>
  <c r="D33" i="8" s="1"/>
  <c r="E47" i="22"/>
  <c r="E49" i="22" s="1"/>
  <c r="E46" i="22"/>
  <c r="E38" i="21"/>
  <c r="E39" i="21" s="1"/>
  <c r="G42" i="6"/>
  <c r="E13" i="19"/>
  <c r="E16" i="19" s="1"/>
  <c r="E33" i="19" s="1"/>
  <c r="G20" i="19"/>
  <c r="G7" i="18"/>
  <c r="G11" i="18" s="1"/>
  <c r="J30" i="19"/>
  <c r="J31" i="19" s="1"/>
  <c r="K27" i="19" s="1"/>
  <c r="E28" i="21"/>
  <c r="J35" i="19" l="1"/>
  <c r="J37" i="19" s="1"/>
  <c r="L90" i="7"/>
  <c r="I26" i="8"/>
  <c r="H32" i="6"/>
  <c r="E39" i="19"/>
  <c r="E51" i="22"/>
  <c r="E52" i="22"/>
  <c r="E54" i="22" s="1"/>
  <c r="E21" i="21"/>
  <c r="E33" i="21" s="1"/>
  <c r="E34" i="21" s="1"/>
  <c r="G12" i="7" s="1"/>
  <c r="G15" i="7" s="1"/>
  <c r="E17" i="19"/>
  <c r="F13" i="19" s="1"/>
  <c r="K30" i="19"/>
  <c r="K31" i="19" s="1"/>
  <c r="G23" i="19"/>
  <c r="G24" i="19" s="1"/>
  <c r="H91" i="7" l="1"/>
  <c r="H92" i="7" s="1"/>
  <c r="F14" i="8"/>
  <c r="E7" i="23"/>
  <c r="E42" i="23" s="1"/>
  <c r="J26" i="8"/>
  <c r="K35" i="19"/>
  <c r="K37" i="19" s="1"/>
  <c r="N90" i="7" s="1"/>
  <c r="M90" i="7"/>
  <c r="E18" i="8"/>
  <c r="E35" i="21"/>
  <c r="G46" i="6" s="1"/>
  <c r="E33" i="8" s="1"/>
  <c r="E56" i="22"/>
  <c r="E57" i="22"/>
  <c r="E59" i="22" s="1"/>
  <c r="F6" i="18"/>
  <c r="F10" i="18" s="1"/>
  <c r="F12" i="18" s="1"/>
  <c r="H31" i="6" s="1"/>
  <c r="H33" i="6" s="1"/>
  <c r="H36" i="6" s="1"/>
  <c r="H39" i="6" s="1"/>
  <c r="H20" i="19"/>
  <c r="H7" i="18"/>
  <c r="H11" i="18" s="1"/>
  <c r="F16" i="19"/>
  <c r="F33" i="19" s="1"/>
  <c r="I32" i="6" s="1"/>
  <c r="F28" i="21"/>
  <c r="K26" i="8" l="1"/>
  <c r="L26" i="8"/>
  <c r="F39" i="19"/>
  <c r="G14" i="8"/>
  <c r="F7" i="23"/>
  <c r="F42" i="23" s="1"/>
  <c r="E61" i="22"/>
  <c r="E62" i="22"/>
  <c r="E64" i="22" s="1"/>
  <c r="F38" i="21"/>
  <c r="F21" i="21" s="1"/>
  <c r="F33" i="21" s="1"/>
  <c r="F34" i="21" s="1"/>
  <c r="H42" i="6"/>
  <c r="F17" i="19"/>
  <c r="H23" i="19"/>
  <c r="H24" i="19" s="1"/>
  <c r="H12" i="7" l="1"/>
  <c r="H15" i="7" s="1"/>
  <c r="F18" i="8" s="1"/>
  <c r="G34" i="21"/>
  <c r="H34" i="21" s="1"/>
  <c r="I34" i="21" s="1"/>
  <c r="J34" i="21" s="1"/>
  <c r="K34" i="21" s="1"/>
  <c r="L34" i="21" s="1"/>
  <c r="I91" i="7"/>
  <c r="I92" i="7" s="1"/>
  <c r="F35" i="21"/>
  <c r="H46" i="6" s="1"/>
  <c r="F33" i="8" s="1"/>
  <c r="E67" i="22"/>
  <c r="E66" i="22"/>
  <c r="E69" i="22" s="1"/>
  <c r="F45" i="6" s="1"/>
  <c r="F39" i="21"/>
  <c r="I20" i="19"/>
  <c r="I7" i="18"/>
  <c r="I11" i="18" s="1"/>
  <c r="G6" i="18"/>
  <c r="G10" i="18" s="1"/>
  <c r="G12" i="18" s="1"/>
  <c r="I31" i="6" s="1"/>
  <c r="I33" i="6" s="1"/>
  <c r="I36" i="6" s="1"/>
  <c r="I39" i="6" s="1"/>
  <c r="G13" i="19"/>
  <c r="D32" i="8" l="1"/>
  <c r="C8" i="23"/>
  <c r="C43" i="23" s="1"/>
  <c r="F9" i="22"/>
  <c r="F11" i="22" s="1"/>
  <c r="F48" i="6"/>
  <c r="F12" i="22"/>
  <c r="F14" i="22" s="1"/>
  <c r="G38" i="21"/>
  <c r="G39" i="21" s="1"/>
  <c r="I42" i="6"/>
  <c r="G16" i="19"/>
  <c r="G33" i="19" s="1"/>
  <c r="G39" i="19" s="1"/>
  <c r="G28" i="21"/>
  <c r="I23" i="19"/>
  <c r="I24" i="19" s="1"/>
  <c r="F49" i="6" l="1"/>
  <c r="F53" i="6" s="1"/>
  <c r="D13" i="8" s="1"/>
  <c r="C23" i="23"/>
  <c r="C12" i="23"/>
  <c r="J91" i="7"/>
  <c r="J92" i="7" s="1"/>
  <c r="F60" i="6"/>
  <c r="J32" i="6"/>
  <c r="F16" i="22"/>
  <c r="F17" i="22"/>
  <c r="F19" i="22" s="1"/>
  <c r="G21" i="21"/>
  <c r="G33" i="21" s="1"/>
  <c r="I12" i="7" s="1"/>
  <c r="I15" i="7" s="1"/>
  <c r="J20" i="19"/>
  <c r="J7" i="18"/>
  <c r="J11" i="18" s="1"/>
  <c r="G17" i="19"/>
  <c r="F54" i="6" l="1"/>
  <c r="D34" i="8" s="1"/>
  <c r="C13" i="23"/>
  <c r="G7" i="23"/>
  <c r="G42" i="23" s="1"/>
  <c r="H14" i="8"/>
  <c r="F85" i="7"/>
  <c r="D28" i="8" s="1"/>
  <c r="G18" i="8"/>
  <c r="F62" i="6"/>
  <c r="F61" i="6"/>
  <c r="G35" i="21"/>
  <c r="I46" i="6" s="1"/>
  <c r="G33" i="8" s="1"/>
  <c r="F20" i="22"/>
  <c r="F22" i="22" s="1"/>
  <c r="F24" i="22" s="1"/>
  <c r="F21" i="22"/>
  <c r="H6" i="18"/>
  <c r="H10" i="18" s="1"/>
  <c r="H12" i="18" s="1"/>
  <c r="J31" i="6" s="1"/>
  <c r="J33" i="6" s="1"/>
  <c r="J36" i="6" s="1"/>
  <c r="J39" i="6" s="1"/>
  <c r="H13" i="19"/>
  <c r="J23" i="19"/>
  <c r="J24" i="19" s="1"/>
  <c r="F55" i="6" l="1"/>
  <c r="F57" i="6" s="1"/>
  <c r="C6" i="23"/>
  <c r="C41" i="23" s="1"/>
  <c r="C44" i="23" s="1"/>
  <c r="D36" i="8"/>
  <c r="F27" i="22"/>
  <c r="F29" i="22" s="1"/>
  <c r="F26" i="22"/>
  <c r="F35" i="22"/>
  <c r="G20" i="22"/>
  <c r="H38" i="21"/>
  <c r="H39" i="21" s="1"/>
  <c r="J42" i="6"/>
  <c r="K7" i="18"/>
  <c r="K11" i="18" s="1"/>
  <c r="K20" i="19"/>
  <c r="H16" i="19"/>
  <c r="H33" i="19" s="1"/>
  <c r="H39" i="19" s="1"/>
  <c r="H28" i="21"/>
  <c r="C9" i="23" l="1"/>
  <c r="C15" i="23" s="1"/>
  <c r="C22" i="23"/>
  <c r="C24" i="23" s="1"/>
  <c r="K91" i="7"/>
  <c r="K92" i="7" s="1"/>
  <c r="F58" i="6"/>
  <c r="F55" i="7"/>
  <c r="K32" i="6"/>
  <c r="H20" i="22"/>
  <c r="I20" i="22" s="1"/>
  <c r="J20" i="22" s="1"/>
  <c r="K20" i="22" s="1"/>
  <c r="L20" i="22" s="1"/>
  <c r="M20" i="22" s="1"/>
  <c r="F50" i="22"/>
  <c r="G35" i="22"/>
  <c r="H35" i="22" s="1"/>
  <c r="I35" i="22" s="1"/>
  <c r="J35" i="22" s="1"/>
  <c r="K35" i="22" s="1"/>
  <c r="L35" i="22" s="1"/>
  <c r="M35" i="22" s="1"/>
  <c r="F32" i="22"/>
  <c r="F34" i="22" s="1"/>
  <c r="F31" i="22"/>
  <c r="H21" i="21"/>
  <c r="H33" i="21" s="1"/>
  <c r="J12" i="7" s="1"/>
  <c r="J15" i="7" s="1"/>
  <c r="H17" i="19"/>
  <c r="K23" i="19"/>
  <c r="K24" i="19" s="1"/>
  <c r="L7" i="18" s="1"/>
  <c r="L11" i="18" s="1"/>
  <c r="H7" i="23" l="1"/>
  <c r="H42" i="23" s="1"/>
  <c r="I14" i="8"/>
  <c r="F56" i="7"/>
  <c r="D12" i="8"/>
  <c r="H18" i="8"/>
  <c r="H35" i="21"/>
  <c r="J46" i="6" s="1"/>
  <c r="H33" i="8" s="1"/>
  <c r="F37" i="22"/>
  <c r="F39" i="22" s="1"/>
  <c r="F36" i="22"/>
  <c r="G50" i="22"/>
  <c r="H50" i="22" s="1"/>
  <c r="I50" i="22" s="1"/>
  <c r="J50" i="22" s="1"/>
  <c r="K50" i="22" s="1"/>
  <c r="L50" i="22" s="1"/>
  <c r="M50" i="22" s="1"/>
  <c r="F65" i="22"/>
  <c r="G65" i="22" s="1"/>
  <c r="H65" i="22" s="1"/>
  <c r="I65" i="22" s="1"/>
  <c r="J65" i="22" s="1"/>
  <c r="K65" i="22" s="1"/>
  <c r="L65" i="22" s="1"/>
  <c r="M65" i="22" s="1"/>
  <c r="I6" i="18"/>
  <c r="I10" i="18" s="1"/>
  <c r="I12" i="18" s="1"/>
  <c r="K31" i="6" s="1"/>
  <c r="K33" i="6" s="1"/>
  <c r="K36" i="6" s="1"/>
  <c r="K39" i="6" s="1"/>
  <c r="I13" i="19"/>
  <c r="F70" i="22" l="1"/>
  <c r="D11" i="23" s="1"/>
  <c r="F28" i="7"/>
  <c r="F105" i="7"/>
  <c r="F71" i="22"/>
  <c r="G70" i="22"/>
  <c r="F41" i="22"/>
  <c r="F42" i="22"/>
  <c r="F44" i="22" s="1"/>
  <c r="I38" i="21"/>
  <c r="I21" i="21" s="1"/>
  <c r="K42" i="6"/>
  <c r="I16" i="19"/>
  <c r="I33" i="19" s="1"/>
  <c r="I39" i="19" s="1"/>
  <c r="I28" i="21"/>
  <c r="F33" i="7" l="1"/>
  <c r="F39" i="7"/>
  <c r="L91" i="7"/>
  <c r="L92" i="7" s="1"/>
  <c r="E11" i="23"/>
  <c r="G28" i="7"/>
  <c r="G33" i="7" s="1"/>
  <c r="G71" i="22"/>
  <c r="L32" i="6"/>
  <c r="F47" i="22"/>
  <c r="F49" i="22" s="1"/>
  <c r="F46" i="22"/>
  <c r="I39" i="21"/>
  <c r="I33" i="21"/>
  <c r="K12" i="7" s="1"/>
  <c r="K15" i="7" s="1"/>
  <c r="I17" i="19"/>
  <c r="E19" i="8" l="1"/>
  <c r="G34" i="7"/>
  <c r="D27" i="23" s="1"/>
  <c r="J14" i="8"/>
  <c r="I7" i="23"/>
  <c r="I42" i="23" s="1"/>
  <c r="F45" i="7"/>
  <c r="D16" i="8"/>
  <c r="F34" i="7"/>
  <c r="C27" i="23" s="1"/>
  <c r="D19" i="8"/>
  <c r="I18" i="8"/>
  <c r="I35" i="21"/>
  <c r="K46" i="6" s="1"/>
  <c r="I33" i="8" s="1"/>
  <c r="F52" i="22"/>
  <c r="F54" i="22" s="1"/>
  <c r="F51" i="22"/>
  <c r="J13" i="19"/>
  <c r="J6" i="18"/>
  <c r="J10" i="18" s="1"/>
  <c r="J12" i="18" s="1"/>
  <c r="L31" i="6" s="1"/>
  <c r="L33" i="6" s="1"/>
  <c r="L36" i="6" s="1"/>
  <c r="L39" i="6" s="1"/>
  <c r="D22" i="8" l="1"/>
  <c r="D39" i="8" s="1"/>
  <c r="D40" i="8" s="1"/>
  <c r="F47" i="7"/>
  <c r="E38" i="8"/>
  <c r="F57" i="22"/>
  <c r="F59" i="22" s="1"/>
  <c r="F56" i="22"/>
  <c r="J38" i="21"/>
  <c r="J21" i="21" s="1"/>
  <c r="L42" i="6"/>
  <c r="J28" i="21"/>
  <c r="J16" i="19"/>
  <c r="J33" i="19" s="1"/>
  <c r="J39" i="19" s="1"/>
  <c r="M91" i="7" l="1"/>
  <c r="M92" i="7" s="1"/>
  <c r="F57" i="7"/>
  <c r="F60" i="7" s="1"/>
  <c r="F109" i="7"/>
  <c r="M32" i="6"/>
  <c r="F62" i="22"/>
  <c r="F64" i="22" s="1"/>
  <c r="F61" i="22"/>
  <c r="J39" i="21"/>
  <c r="J17" i="19"/>
  <c r="K13" i="19" s="1"/>
  <c r="J33" i="21"/>
  <c r="L12" i="7" s="1"/>
  <c r="L15" i="7" s="1"/>
  <c r="K14" i="8" l="1"/>
  <c r="J7" i="23"/>
  <c r="J42" i="23" s="1"/>
  <c r="F88" i="7"/>
  <c r="D43" i="8"/>
  <c r="J18" i="8"/>
  <c r="J35" i="21"/>
  <c r="L46" i="6" s="1"/>
  <c r="J33" i="8" s="1"/>
  <c r="F66" i="22"/>
  <c r="F69" i="22" s="1"/>
  <c r="G45" i="6" s="1"/>
  <c r="F67" i="22"/>
  <c r="G39" i="7" s="1"/>
  <c r="K6" i="18"/>
  <c r="K10" i="18" s="1"/>
  <c r="K12" i="18" s="1"/>
  <c r="M31" i="6" s="1"/>
  <c r="M33" i="6" s="1"/>
  <c r="M36" i="6" s="1"/>
  <c r="M39" i="6" s="1"/>
  <c r="K28" i="21"/>
  <c r="K16" i="19"/>
  <c r="K33" i="19" s="1"/>
  <c r="G48" i="6" l="1"/>
  <c r="E32" i="8"/>
  <c r="D8" i="23"/>
  <c r="D43" i="23" s="1"/>
  <c r="F106" i="7"/>
  <c r="F108" i="7"/>
  <c r="F107" i="7"/>
  <c r="F103" i="7"/>
  <c r="N32" i="6"/>
  <c r="K39" i="19"/>
  <c r="N91" i="7" s="1"/>
  <c r="N92" i="7" s="1"/>
  <c r="E29" i="8"/>
  <c r="G45" i="7"/>
  <c r="G47" i="7" s="1"/>
  <c r="E16" i="8"/>
  <c r="G9" i="22"/>
  <c r="G12" i="22" s="1"/>
  <c r="G14" i="22" s="1"/>
  <c r="K17" i="19"/>
  <c r="L6" i="18" s="1"/>
  <c r="L10" i="18" s="1"/>
  <c r="L12" i="18" s="1"/>
  <c r="N31" i="6" s="1"/>
  <c r="N33" i="6" s="1"/>
  <c r="N36" i="6" s="1"/>
  <c r="N39" i="6" s="1"/>
  <c r="L38" i="21" s="1"/>
  <c r="K38" i="21"/>
  <c r="K39" i="21" s="1"/>
  <c r="M42" i="6"/>
  <c r="L28" i="21"/>
  <c r="F111" i="7" l="1"/>
  <c r="C26" i="23"/>
  <c r="C28" i="23" s="1"/>
  <c r="D12" i="23"/>
  <c r="G49" i="6"/>
  <c r="G53" i="6" s="1"/>
  <c r="D23" i="23"/>
  <c r="G11" i="22"/>
  <c r="L14" i="8"/>
  <c r="K7" i="23"/>
  <c r="G17" i="22"/>
  <c r="G19" i="22" s="1"/>
  <c r="G16" i="22"/>
  <c r="L21" i="21"/>
  <c r="L33" i="21" s="1"/>
  <c r="N12" i="7" s="1"/>
  <c r="N15" i="7" s="1"/>
  <c r="L39" i="21"/>
  <c r="N42" i="6"/>
  <c r="K21" i="21"/>
  <c r="K33" i="21" s="1"/>
  <c r="M12" i="7" s="1"/>
  <c r="M15" i="7" s="1"/>
  <c r="C37" i="23" l="1"/>
  <c r="C39" i="23" s="1"/>
  <c r="C46" i="23" s="1"/>
  <c r="C30" i="23"/>
  <c r="L7" i="23"/>
  <c r="K42" i="23"/>
  <c r="D13" i="23"/>
  <c r="E13" i="8"/>
  <c r="G60" i="6"/>
  <c r="G54" i="6"/>
  <c r="L18" i="8"/>
  <c r="N34" i="7"/>
  <c r="K27" i="23" s="1"/>
  <c r="K18" i="8"/>
  <c r="K35" i="21"/>
  <c r="M46" i="6" s="1"/>
  <c r="K33" i="8" s="1"/>
  <c r="L35" i="21"/>
  <c r="N46" i="6" s="1"/>
  <c r="L33" i="8" s="1"/>
  <c r="G22" i="22"/>
  <c r="G24" i="22" s="1"/>
  <c r="G21" i="22"/>
  <c r="E34" i="8" l="1"/>
  <c r="G55" i="6"/>
  <c r="G85" i="7"/>
  <c r="E28" i="8" s="1"/>
  <c r="E36" i="8" s="1"/>
  <c r="G61" i="6"/>
  <c r="G62" i="6"/>
  <c r="G27" i="22"/>
  <c r="G29" i="22" s="1"/>
  <c r="G26" i="22"/>
  <c r="G57" i="6" l="1"/>
  <c r="D6" i="23"/>
  <c r="D41" i="23" s="1"/>
  <c r="D44" i="23" s="1"/>
  <c r="G31" i="22"/>
  <c r="G32" i="22"/>
  <c r="G34" i="22" s="1"/>
  <c r="D9" i="23" l="1"/>
  <c r="D15" i="23" s="1"/>
  <c r="D22" i="23"/>
  <c r="G58" i="6"/>
  <c r="G55" i="7"/>
  <c r="G37" i="22"/>
  <c r="G39" i="22" s="1"/>
  <c r="G36" i="22"/>
  <c r="D24" i="23" l="1"/>
  <c r="E12" i="8"/>
  <c r="E22" i="8" s="1"/>
  <c r="E39" i="8" s="1"/>
  <c r="E40" i="8" s="1"/>
  <c r="F38" i="8" s="1"/>
  <c r="G56" i="7"/>
  <c r="G41" i="22"/>
  <c r="G42" i="22"/>
  <c r="G44" i="22" s="1"/>
  <c r="H70" i="22"/>
  <c r="G105" i="7" l="1"/>
  <c r="G109" i="7" s="1"/>
  <c r="G57" i="7"/>
  <c r="G60" i="7" s="1"/>
  <c r="G88" i="7" s="1"/>
  <c r="F11" i="23"/>
  <c r="H28" i="7"/>
  <c r="H33" i="7" s="1"/>
  <c r="H71" i="22"/>
  <c r="G47" i="22"/>
  <c r="G49" i="22" s="1"/>
  <c r="G46" i="22"/>
  <c r="E43" i="8" l="1"/>
  <c r="G103" i="7"/>
  <c r="G108" i="7"/>
  <c r="G106" i="7"/>
  <c r="G107" i="7"/>
  <c r="F19" i="8"/>
  <c r="H34" i="7"/>
  <c r="E27" i="23" s="1"/>
  <c r="G52" i="22"/>
  <c r="G54" i="22" s="1"/>
  <c r="G51" i="22"/>
  <c r="G111" i="7" l="1"/>
  <c r="D26" i="23"/>
  <c r="D28" i="23" s="1"/>
  <c r="G57" i="22"/>
  <c r="G59" i="22" s="1"/>
  <c r="G56" i="22"/>
  <c r="D37" i="23" l="1"/>
  <c r="D39" i="23" s="1"/>
  <c r="D46" i="23" s="1"/>
  <c r="D30" i="23"/>
  <c r="G62" i="22"/>
  <c r="G64" i="22" s="1"/>
  <c r="G61" i="22"/>
  <c r="G66" i="22" l="1"/>
  <c r="G69" i="22" s="1"/>
  <c r="H45" i="6" s="1"/>
  <c r="G67" i="22"/>
  <c r="H39" i="7" s="1"/>
  <c r="F16" i="8" l="1"/>
  <c r="F29" i="8"/>
  <c r="H45" i="7"/>
  <c r="H47" i="7" s="1"/>
  <c r="H48" i="6"/>
  <c r="E8" i="23"/>
  <c r="E43" i="23" s="1"/>
  <c r="F32" i="8"/>
  <c r="H9" i="22"/>
  <c r="H11" i="22" s="1"/>
  <c r="E12" i="23" l="1"/>
  <c r="H49" i="6"/>
  <c r="H53" i="6" s="1"/>
  <c r="F13" i="8" s="1"/>
  <c r="E23" i="23"/>
  <c r="H12" i="22"/>
  <c r="H14" i="22" s="1"/>
  <c r="H16" i="22" s="1"/>
  <c r="H54" i="6" l="1"/>
  <c r="F34" i="8" s="1"/>
  <c r="E13" i="23"/>
  <c r="H60" i="6"/>
  <c r="H85" i="7"/>
  <c r="F28" i="8" s="1"/>
  <c r="F36" i="8" s="1"/>
  <c r="H55" i="6"/>
  <c r="H17" i="22"/>
  <c r="H19" i="22" s="1"/>
  <c r="H22" i="22" s="1"/>
  <c r="H24" i="22" s="1"/>
  <c r="H57" i="6"/>
  <c r="E6" i="23"/>
  <c r="E41" i="23" s="1"/>
  <c r="E44" i="23" s="1"/>
  <c r="H21" i="22" l="1"/>
  <c r="H61" i="6"/>
  <c r="H62" i="6"/>
  <c r="E9" i="23"/>
  <c r="E15" i="23" s="1"/>
  <c r="E22" i="23"/>
  <c r="H58" i="6"/>
  <c r="H55" i="7"/>
  <c r="H27" i="22"/>
  <c r="H29" i="22" s="1"/>
  <c r="H26" i="22"/>
  <c r="E24" i="23" l="1"/>
  <c r="F12" i="8"/>
  <c r="F22" i="8" s="1"/>
  <c r="F39" i="8" s="1"/>
  <c r="F40" i="8" s="1"/>
  <c r="H56" i="7"/>
  <c r="H31" i="22"/>
  <c r="H32" i="22"/>
  <c r="H34" i="22" s="1"/>
  <c r="H105" i="7" l="1"/>
  <c r="H109" i="7" s="1"/>
  <c r="H57" i="7"/>
  <c r="H60" i="7" s="1"/>
  <c r="H88" i="7" s="1"/>
  <c r="G38" i="8"/>
  <c r="H36" i="22"/>
  <c r="H37" i="22"/>
  <c r="H39" i="22" s="1"/>
  <c r="F43" i="8" l="1"/>
  <c r="H108" i="7"/>
  <c r="H103" i="7"/>
  <c r="H107" i="7"/>
  <c r="H106" i="7"/>
  <c r="H41" i="22"/>
  <c r="H42" i="22"/>
  <c r="H44" i="22" s="1"/>
  <c r="I70" i="22"/>
  <c r="H111" i="7" l="1"/>
  <c r="E26" i="23"/>
  <c r="I28" i="7"/>
  <c r="I33" i="7" s="1"/>
  <c r="G11" i="23"/>
  <c r="I71" i="22"/>
  <c r="H46" i="22"/>
  <c r="H47" i="22"/>
  <c r="H49" i="22" s="1"/>
  <c r="E28" i="23" l="1"/>
  <c r="G19" i="8"/>
  <c r="I34" i="7"/>
  <c r="F27" i="23" s="1"/>
  <c r="H52" i="22"/>
  <c r="H54" i="22" s="1"/>
  <c r="H51" i="22"/>
  <c r="E37" i="23" l="1"/>
  <c r="E39" i="23" s="1"/>
  <c r="E46" i="23" s="1"/>
  <c r="E30" i="23"/>
  <c r="H56" i="22"/>
  <c r="H57" i="22"/>
  <c r="H59" i="22" s="1"/>
  <c r="H61" i="22" l="1"/>
  <c r="H62" i="22"/>
  <c r="H64" i="22" s="1"/>
  <c r="H66" i="22" l="1"/>
  <c r="H69" i="22" s="1"/>
  <c r="I45" i="6" s="1"/>
  <c r="H67" i="22"/>
  <c r="I39" i="7" s="1"/>
  <c r="G16" i="8" l="1"/>
  <c r="G29" i="8"/>
  <c r="I45" i="7"/>
  <c r="I47" i="7" s="1"/>
  <c r="I48" i="6"/>
  <c r="F8" i="23"/>
  <c r="F43" i="23" s="1"/>
  <c r="G32" i="8"/>
  <c r="I9" i="22"/>
  <c r="I11" i="22" s="1"/>
  <c r="F12" i="23" l="1"/>
  <c r="I49" i="6"/>
  <c r="I53" i="6" s="1"/>
  <c r="G13" i="8" s="1"/>
  <c r="F23" i="23"/>
  <c r="I60" i="6"/>
  <c r="I62" i="6" s="1"/>
  <c r="I12" i="22"/>
  <c r="I14" i="22" s="1"/>
  <c r="I54" i="6"/>
  <c r="I55" i="6" s="1"/>
  <c r="I16" i="22"/>
  <c r="I17" i="22"/>
  <c r="I19" i="22" s="1"/>
  <c r="I61" i="6" l="1"/>
  <c r="F13" i="23"/>
  <c r="I85" i="7"/>
  <c r="G28" i="8" s="1"/>
  <c r="G34" i="8"/>
  <c r="I57" i="6"/>
  <c r="F6" i="23"/>
  <c r="F41" i="23" s="1"/>
  <c r="F44" i="23" s="1"/>
  <c r="I22" i="22"/>
  <c r="I24" i="22" s="1"/>
  <c r="I21" i="22"/>
  <c r="F9" i="23" l="1"/>
  <c r="F15" i="23" s="1"/>
  <c r="F22" i="23"/>
  <c r="G36" i="8"/>
  <c r="I58" i="6"/>
  <c r="I55" i="7"/>
  <c r="I26" i="22"/>
  <c r="I27" i="22"/>
  <c r="I29" i="22" s="1"/>
  <c r="F24" i="23" l="1"/>
  <c r="G12" i="8"/>
  <c r="G22" i="8" s="1"/>
  <c r="G39" i="8" s="1"/>
  <c r="G40" i="8" s="1"/>
  <c r="I56" i="7"/>
  <c r="I31" i="22"/>
  <c r="I32" i="22"/>
  <c r="I34" i="22" s="1"/>
  <c r="I105" i="7" l="1"/>
  <c r="I109" i="7" s="1"/>
  <c r="I57" i="7"/>
  <c r="I60" i="7" s="1"/>
  <c r="I88" i="7" s="1"/>
  <c r="H38" i="8"/>
  <c r="I37" i="22"/>
  <c r="I39" i="22" s="1"/>
  <c r="I36" i="22"/>
  <c r="G43" i="8" l="1"/>
  <c r="I103" i="7"/>
  <c r="I108" i="7"/>
  <c r="I107" i="7"/>
  <c r="I106" i="7"/>
  <c r="I42" i="22"/>
  <c r="I44" i="22" s="1"/>
  <c r="I41" i="22"/>
  <c r="J70" i="22"/>
  <c r="I111" i="7" l="1"/>
  <c r="F26" i="23"/>
  <c r="J28" i="7"/>
  <c r="J33" i="7" s="1"/>
  <c r="H11" i="23"/>
  <c r="J71" i="22"/>
  <c r="I47" i="22"/>
  <c r="I49" i="22" s="1"/>
  <c r="I46" i="22"/>
  <c r="F28" i="23" l="1"/>
  <c r="H19" i="8"/>
  <c r="J34" i="7"/>
  <c r="G27" i="23" s="1"/>
  <c r="I51" i="22"/>
  <c r="I52" i="22"/>
  <c r="I54" i="22" s="1"/>
  <c r="F37" i="23" l="1"/>
  <c r="F39" i="23" s="1"/>
  <c r="F46" i="23" s="1"/>
  <c r="F30" i="23"/>
  <c r="I57" i="22"/>
  <c r="I59" i="22" s="1"/>
  <c r="I56" i="22"/>
  <c r="I61" i="22" l="1"/>
  <c r="I62" i="22"/>
  <c r="I64" i="22" s="1"/>
  <c r="I67" i="22" l="1"/>
  <c r="J39" i="7" s="1"/>
  <c r="I66" i="22"/>
  <c r="I69" i="22" s="1"/>
  <c r="J45" i="6" s="1"/>
  <c r="J48" i="6" l="1"/>
  <c r="G8" i="23"/>
  <c r="G43" i="23" s="1"/>
  <c r="H32" i="8"/>
  <c r="H16" i="8"/>
  <c r="H29" i="8"/>
  <c r="J45" i="7"/>
  <c r="J47" i="7" s="1"/>
  <c r="J9" i="22"/>
  <c r="J11" i="22" s="1"/>
  <c r="G12" i="23" l="1"/>
  <c r="J49" i="6"/>
  <c r="J53" i="6" s="1"/>
  <c r="G23" i="23"/>
  <c r="J12" i="22"/>
  <c r="J14" i="22" s="1"/>
  <c r="J17" i="22" s="1"/>
  <c r="J19" i="22" s="1"/>
  <c r="G13" i="23" l="1"/>
  <c r="H13" i="8"/>
  <c r="J60" i="6"/>
  <c r="J54" i="6"/>
  <c r="J16" i="22"/>
  <c r="J21" i="22"/>
  <c r="J22" i="22"/>
  <c r="J24" i="22" s="1"/>
  <c r="J55" i="6" l="1"/>
  <c r="H34" i="8"/>
  <c r="J85" i="7"/>
  <c r="H28" i="8" s="1"/>
  <c r="H36" i="8" s="1"/>
  <c r="J62" i="6"/>
  <c r="J61" i="6"/>
  <c r="J26" i="22"/>
  <c r="J27" i="22"/>
  <c r="J29" i="22" s="1"/>
  <c r="J57" i="6" l="1"/>
  <c r="G6" i="23"/>
  <c r="G41" i="23" s="1"/>
  <c r="G44" i="23" s="1"/>
  <c r="J31" i="22"/>
  <c r="J32" i="22"/>
  <c r="J34" i="22" s="1"/>
  <c r="G22" i="23" l="1"/>
  <c r="G24" i="23" s="1"/>
  <c r="G9" i="23"/>
  <c r="G15" i="23" s="1"/>
  <c r="J58" i="6"/>
  <c r="J55" i="7"/>
  <c r="J36" i="22"/>
  <c r="J37" i="22"/>
  <c r="J39" i="22" s="1"/>
  <c r="H12" i="8" l="1"/>
  <c r="H22" i="8" s="1"/>
  <c r="H39" i="8" s="1"/>
  <c r="H40" i="8" s="1"/>
  <c r="J56" i="7"/>
  <c r="J41" i="22"/>
  <c r="J42" i="22"/>
  <c r="J44" i="22" s="1"/>
  <c r="K70" i="22"/>
  <c r="J105" i="7" l="1"/>
  <c r="J109" i="7" s="1"/>
  <c r="J57" i="7"/>
  <c r="J60" i="7" s="1"/>
  <c r="J88" i="7" s="1"/>
  <c r="I38" i="8"/>
  <c r="K28" i="7"/>
  <c r="K33" i="7" s="1"/>
  <c r="I11" i="23"/>
  <c r="K71" i="22"/>
  <c r="J46" i="22"/>
  <c r="J47" i="22"/>
  <c r="J49" i="22" s="1"/>
  <c r="H43" i="8" l="1"/>
  <c r="J107" i="7"/>
  <c r="J106" i="7"/>
  <c r="J103" i="7"/>
  <c r="J108" i="7"/>
  <c r="I19" i="8"/>
  <c r="K34" i="7"/>
  <c r="H27" i="23" s="1"/>
  <c r="J52" i="22"/>
  <c r="J54" i="22" s="1"/>
  <c r="J51" i="22"/>
  <c r="J111" i="7" l="1"/>
  <c r="G26" i="23"/>
  <c r="G28" i="23" s="1"/>
  <c r="J56" i="22"/>
  <c r="J57" i="22"/>
  <c r="J59" i="22" s="1"/>
  <c r="G37" i="23" l="1"/>
  <c r="G39" i="23" s="1"/>
  <c r="G46" i="23" s="1"/>
  <c r="G30" i="23"/>
  <c r="J61" i="22"/>
  <c r="J62" i="22"/>
  <c r="J64" i="22" s="1"/>
  <c r="J66" i="22" l="1"/>
  <c r="J69" i="22" s="1"/>
  <c r="K45" i="6" s="1"/>
  <c r="J67" i="22"/>
  <c r="K39" i="7" s="1"/>
  <c r="I29" i="8" l="1"/>
  <c r="K45" i="7"/>
  <c r="K47" i="7" s="1"/>
  <c r="I16" i="8"/>
  <c r="K48" i="6"/>
  <c r="H8" i="23"/>
  <c r="I32" i="8"/>
  <c r="K9" i="22"/>
  <c r="K11" i="22" s="1"/>
  <c r="H12" i="23" l="1"/>
  <c r="H13" i="23" s="1"/>
  <c r="H43" i="23"/>
  <c r="K49" i="6"/>
  <c r="K53" i="6" s="1"/>
  <c r="I13" i="8" s="1"/>
  <c r="H23" i="23"/>
  <c r="K12" i="22"/>
  <c r="K14" i="22" s="1"/>
  <c r="K17" i="22" s="1"/>
  <c r="K19" i="22" s="1"/>
  <c r="K16" i="22" l="1"/>
  <c r="K54" i="6"/>
  <c r="K55" i="6" s="1"/>
  <c r="K60" i="6"/>
  <c r="I34" i="8"/>
  <c r="K85" i="7"/>
  <c r="I28" i="8" s="1"/>
  <c r="I36" i="8" s="1"/>
  <c r="K57" i="6"/>
  <c r="H6" i="23"/>
  <c r="H41" i="23" s="1"/>
  <c r="H44" i="23" s="1"/>
  <c r="K58" i="6"/>
  <c r="K55" i="7"/>
  <c r="K22" i="22"/>
  <c r="K24" i="22" s="1"/>
  <c r="K21" i="22"/>
  <c r="K61" i="6" l="1"/>
  <c r="K62" i="6"/>
  <c r="H9" i="23"/>
  <c r="H15" i="23" s="1"/>
  <c r="H22" i="23"/>
  <c r="I12" i="8"/>
  <c r="I22" i="8" s="1"/>
  <c r="I39" i="8" s="1"/>
  <c r="I40" i="8" s="1"/>
  <c r="K56" i="7"/>
  <c r="K27" i="22"/>
  <c r="K29" i="22" s="1"/>
  <c r="K26" i="22"/>
  <c r="H24" i="23" l="1"/>
  <c r="K105" i="7"/>
  <c r="K109" i="7" s="1"/>
  <c r="K57" i="7"/>
  <c r="K60" i="7" s="1"/>
  <c r="K88" i="7" s="1"/>
  <c r="J38" i="8"/>
  <c r="K32" i="22"/>
  <c r="K34" i="22" s="1"/>
  <c r="K31" i="22"/>
  <c r="K103" i="7" l="1"/>
  <c r="K106" i="7"/>
  <c r="K108" i="7"/>
  <c r="K107" i="7"/>
  <c r="I43" i="8"/>
  <c r="K37" i="22"/>
  <c r="K39" i="22" s="1"/>
  <c r="K36" i="22"/>
  <c r="K111" i="7" l="1"/>
  <c r="H26" i="23"/>
  <c r="K41" i="22"/>
  <c r="K42" i="22"/>
  <c r="K44" i="22" s="1"/>
  <c r="L70" i="22"/>
  <c r="H28" i="23" l="1"/>
  <c r="L28" i="7"/>
  <c r="L33" i="7" s="1"/>
  <c r="J11" i="23"/>
  <c r="L71" i="22"/>
  <c r="K46" i="22"/>
  <c r="K47" i="22"/>
  <c r="K49" i="22" s="1"/>
  <c r="H37" i="23" l="1"/>
  <c r="H30" i="23"/>
  <c r="H39" i="23"/>
  <c r="H46" i="23" s="1"/>
  <c r="J19" i="8"/>
  <c r="L34" i="7"/>
  <c r="I27" i="23" s="1"/>
  <c r="K52" i="22"/>
  <c r="K54" i="22" s="1"/>
  <c r="K51" i="22"/>
  <c r="K57" i="22" l="1"/>
  <c r="K59" i="22" s="1"/>
  <c r="K56" i="22"/>
  <c r="K61" i="22" l="1"/>
  <c r="K62" i="22"/>
  <c r="K64" i="22" s="1"/>
  <c r="K67" i="22" l="1"/>
  <c r="L39" i="7" s="1"/>
  <c r="K66" i="22"/>
  <c r="K69" i="22" s="1"/>
  <c r="L45" i="6" s="1"/>
  <c r="L48" i="6" l="1"/>
  <c r="J32" i="8"/>
  <c r="I8" i="23"/>
  <c r="J29" i="8"/>
  <c r="L45" i="7"/>
  <c r="L47" i="7" s="1"/>
  <c r="J16" i="8"/>
  <c r="L9" i="22"/>
  <c r="L11" i="22" s="1"/>
  <c r="I12" i="23" l="1"/>
  <c r="I13" i="23" s="1"/>
  <c r="I43" i="23"/>
  <c r="L49" i="6"/>
  <c r="L53" i="6" s="1"/>
  <c r="J13" i="8" s="1"/>
  <c r="I23" i="23"/>
  <c r="L12" i="22"/>
  <c r="L14" i="22" s="1"/>
  <c r="L17" i="22" s="1"/>
  <c r="L19" i="22" s="1"/>
  <c r="L16" i="22" l="1"/>
  <c r="L54" i="6"/>
  <c r="L60" i="6"/>
  <c r="L21" i="22"/>
  <c r="L22" i="22"/>
  <c r="L24" i="22" s="1"/>
  <c r="J34" i="8" l="1"/>
  <c r="L85" i="7"/>
  <c r="J28" i="8" s="1"/>
  <c r="L61" i="6"/>
  <c r="L62" i="6"/>
  <c r="L55" i="6"/>
  <c r="L26" i="22"/>
  <c r="L27" i="22"/>
  <c r="L29" i="22" s="1"/>
  <c r="J36" i="8" l="1"/>
  <c r="I6" i="23"/>
  <c r="I41" i="23" s="1"/>
  <c r="I44" i="23" s="1"/>
  <c r="L57" i="6"/>
  <c r="L32" i="22"/>
  <c r="L34" i="22" s="1"/>
  <c r="L31" i="22"/>
  <c r="L55" i="7" l="1"/>
  <c r="L58" i="6"/>
  <c r="I22" i="23"/>
  <c r="I24" i="23" s="1"/>
  <c r="I9" i="23"/>
  <c r="I15" i="23" s="1"/>
  <c r="L37" i="22"/>
  <c r="L39" i="22" s="1"/>
  <c r="L36" i="22"/>
  <c r="J12" i="8" l="1"/>
  <c r="J22" i="8" s="1"/>
  <c r="J39" i="8" s="1"/>
  <c r="J40" i="8" s="1"/>
  <c r="K38" i="8" s="1"/>
  <c r="L56" i="7"/>
  <c r="L42" i="22"/>
  <c r="L44" i="22" s="1"/>
  <c r="L41" i="22"/>
  <c r="M70" i="22"/>
  <c r="L105" i="7" l="1"/>
  <c r="L109" i="7" s="1"/>
  <c r="L57" i="7"/>
  <c r="L60" i="7" s="1"/>
  <c r="L88" i="7" s="1"/>
  <c r="K11" i="23"/>
  <c r="L11" i="23" s="1"/>
  <c r="M28" i="7"/>
  <c r="M33" i="7" s="1"/>
  <c r="M71" i="22"/>
  <c r="L46" i="22"/>
  <c r="L47" i="22"/>
  <c r="L49" i="22" s="1"/>
  <c r="L108" i="7" l="1"/>
  <c r="L107" i="7"/>
  <c r="L103" i="7"/>
  <c r="L106" i="7"/>
  <c r="J43" i="8"/>
  <c r="K19" i="8"/>
  <c r="L19" i="8"/>
  <c r="M34" i="7"/>
  <c r="J27" i="23" s="1"/>
  <c r="L27" i="23" s="1"/>
  <c r="L52" i="22"/>
  <c r="L54" i="22" s="1"/>
  <c r="L51" i="22"/>
  <c r="L111" i="7" l="1"/>
  <c r="I26" i="23"/>
  <c r="I28" i="23" s="1"/>
  <c r="L57" i="22"/>
  <c r="L59" i="22" s="1"/>
  <c r="L56" i="22"/>
  <c r="I37" i="23" l="1"/>
  <c r="I39" i="23" s="1"/>
  <c r="I46" i="23" s="1"/>
  <c r="I30" i="23"/>
  <c r="L61" i="22"/>
  <c r="L62" i="22"/>
  <c r="L64" i="22" s="1"/>
  <c r="L67" i="22" l="1"/>
  <c r="M39" i="7" s="1"/>
  <c r="L66" i="22"/>
  <c r="L69" i="22" s="1"/>
  <c r="M45" i="6" s="1"/>
  <c r="M48" i="6" l="1"/>
  <c r="K32" i="8"/>
  <c r="J8" i="23"/>
  <c r="M45" i="7"/>
  <c r="M47" i="7" s="1"/>
  <c r="K29" i="8"/>
  <c r="K16" i="8"/>
  <c r="M9" i="22"/>
  <c r="M11" i="22" s="1"/>
  <c r="J12" i="23" l="1"/>
  <c r="J13" i="23" s="1"/>
  <c r="J43" i="23"/>
  <c r="M49" i="6"/>
  <c r="M53" i="6" s="1"/>
  <c r="J23" i="23"/>
  <c r="M12" i="22"/>
  <c r="M14" i="22" s="1"/>
  <c r="M17" i="22" s="1"/>
  <c r="M19" i="22" s="1"/>
  <c r="M16" i="22" l="1"/>
  <c r="K13" i="8"/>
  <c r="M60" i="6"/>
  <c r="M54" i="6"/>
  <c r="M22" i="22"/>
  <c r="M24" i="22" s="1"/>
  <c r="M21" i="22"/>
  <c r="M62" i="6" l="1"/>
  <c r="M61" i="6"/>
  <c r="M55" i="6"/>
  <c r="K34" i="8"/>
  <c r="M85" i="7"/>
  <c r="K28" i="8" s="1"/>
  <c r="K36" i="8" s="1"/>
  <c r="M27" i="22"/>
  <c r="M29" i="22" s="1"/>
  <c r="M26" i="22"/>
  <c r="M57" i="6" l="1"/>
  <c r="J6" i="23"/>
  <c r="J41" i="23" s="1"/>
  <c r="J44" i="23" s="1"/>
  <c r="M32" i="22"/>
  <c r="M34" i="22" s="1"/>
  <c r="M31" i="22"/>
  <c r="J9" i="23" l="1"/>
  <c r="J15" i="23" s="1"/>
  <c r="J22" i="23"/>
  <c r="J24" i="23" s="1"/>
  <c r="M55" i="7"/>
  <c r="M58" i="6"/>
  <c r="M36" i="22"/>
  <c r="M37" i="22"/>
  <c r="M39" i="22" s="1"/>
  <c r="M56" i="7" l="1"/>
  <c r="K12" i="8"/>
  <c r="K22" i="8" s="1"/>
  <c r="K39" i="8" s="1"/>
  <c r="K40" i="8" s="1"/>
  <c r="L38" i="8" s="1"/>
  <c r="M41" i="22"/>
  <c r="M42" i="22"/>
  <c r="M44" i="22" s="1"/>
  <c r="M105" i="7" l="1"/>
  <c r="M109" i="7" s="1"/>
  <c r="M57" i="7"/>
  <c r="M60" i="7" s="1"/>
  <c r="M88" i="7" s="1"/>
  <c r="M47" i="22"/>
  <c r="M49" i="22" s="1"/>
  <c r="M46" i="22"/>
  <c r="M103" i="7" l="1"/>
  <c r="M106" i="7"/>
  <c r="M107" i="7"/>
  <c r="M108" i="7"/>
  <c r="K43" i="8"/>
  <c r="M51" i="22"/>
  <c r="M52" i="22"/>
  <c r="M54" i="22" s="1"/>
  <c r="M111" i="7" l="1"/>
  <c r="J26" i="23"/>
  <c r="J28" i="23" s="1"/>
  <c r="M57" i="22"/>
  <c r="M59" i="22" s="1"/>
  <c r="M56" i="22"/>
  <c r="J37" i="23" l="1"/>
  <c r="J39" i="23" s="1"/>
  <c r="J46" i="23" s="1"/>
  <c r="J30" i="23"/>
  <c r="M61" i="22"/>
  <c r="M62" i="22"/>
  <c r="M64" i="22" s="1"/>
  <c r="M67" i="22" l="1"/>
  <c r="N39" i="7" s="1"/>
  <c r="M66" i="22"/>
  <c r="M69" i="22" s="1"/>
  <c r="N45" i="6" s="1"/>
  <c r="N48" i="6" l="1"/>
  <c r="L32" i="8"/>
  <c r="K8" i="23"/>
  <c r="K43" i="23" s="1"/>
  <c r="N45" i="7"/>
  <c r="N47" i="7" s="1"/>
  <c r="L16" i="8"/>
  <c r="L29" i="8"/>
  <c r="K12" i="23" l="1"/>
  <c r="L8" i="23"/>
  <c r="N49" i="6"/>
  <c r="N53" i="6" s="1"/>
  <c r="K23" i="23"/>
  <c r="L23" i="23" s="1"/>
  <c r="K13" i="23" l="1"/>
  <c r="L12" i="23"/>
  <c r="L13" i="23" s="1"/>
  <c r="L13" i="8"/>
  <c r="N54" i="6"/>
  <c r="N60" i="6"/>
  <c r="N55" i="6" l="1"/>
  <c r="L34" i="8"/>
  <c r="N85" i="7"/>
  <c r="L28" i="8" s="1"/>
  <c r="L36" i="8" s="1"/>
  <c r="N62" i="6"/>
  <c r="N61" i="6"/>
  <c r="K6" i="23" l="1"/>
  <c r="N57" i="6"/>
  <c r="L6" i="23" l="1"/>
  <c r="L9" i="23" s="1"/>
  <c r="L15" i="23" s="1"/>
  <c r="K41" i="23"/>
  <c r="K44" i="23" s="1"/>
  <c r="N55" i="7"/>
  <c r="N58" i="6"/>
  <c r="K9" i="23"/>
  <c r="K15" i="23" s="1"/>
  <c r="K22" i="23"/>
  <c r="C16" i="23" l="1"/>
  <c r="K24" i="23"/>
  <c r="L22" i="23"/>
  <c r="L24" i="23" s="1"/>
  <c r="N56" i="7"/>
  <c r="L12" i="8"/>
  <c r="L22" i="8" s="1"/>
  <c r="L39" i="8" s="1"/>
  <c r="L40" i="8" s="1"/>
  <c r="N105" i="7" l="1"/>
  <c r="N109" i="7" s="1"/>
  <c r="N57" i="7"/>
  <c r="N60" i="7" s="1"/>
  <c r="N88" i="7" s="1"/>
  <c r="N103" i="7" l="1"/>
  <c r="N107" i="7"/>
  <c r="N106" i="7"/>
  <c r="N108" i="7"/>
  <c r="L43" i="8"/>
  <c r="N111" i="7" l="1"/>
  <c r="K26" i="23"/>
  <c r="K28" i="23" l="1"/>
  <c r="K37" i="23" s="1"/>
  <c r="L26" i="23"/>
  <c r="L28" i="23" s="1"/>
  <c r="C31" i="23" s="1"/>
  <c r="K30" i="23" l="1"/>
  <c r="K39" i="23"/>
  <c r="K46" i="23" s="1"/>
  <c r="C47" i="23" s="1"/>
</calcChain>
</file>

<file path=xl/sharedStrings.xml><?xml version="1.0" encoding="utf-8"?>
<sst xmlns="http://schemas.openxmlformats.org/spreadsheetml/2006/main" count="917" uniqueCount="559">
  <si>
    <t xml:space="preserve"> </t>
  </si>
  <si>
    <t>PRELIMINARY AND PRE-OPERATIVE EXPENSES</t>
  </si>
  <si>
    <t>( In Rs. Crores unless otherwise specified )</t>
  </si>
  <si>
    <t>S.NO</t>
  </si>
  <si>
    <t>DESCRIPTION</t>
  </si>
  <si>
    <t>Amount</t>
  </si>
  <si>
    <t>Fees and Approvals</t>
  </si>
  <si>
    <t>Travelling expenses</t>
  </si>
  <si>
    <t>Misc Expenses (Post / Mail / Legal)</t>
  </si>
  <si>
    <t xml:space="preserve">Upfront fee </t>
  </si>
  <si>
    <t>Interest during construction</t>
  </si>
  <si>
    <t>Consultancy Fees</t>
  </si>
  <si>
    <t>Trial Run Expenses</t>
  </si>
  <si>
    <t>Total Preliminary &amp; Pre-Operative Expenses</t>
  </si>
  <si>
    <t>INPUTS &amp; ASSUMPTIONS</t>
  </si>
  <si>
    <t>PROJECT COST &amp; FINANCING</t>
  </si>
  <si>
    <t>Contingencies on Building</t>
  </si>
  <si>
    <t>Contingencies on Equipment</t>
  </si>
  <si>
    <t>Term Loan</t>
  </si>
  <si>
    <t>Debt-Equity</t>
  </si>
  <si>
    <t>Rate of Interest on Term Loan</t>
  </si>
  <si>
    <t>CAPACITY</t>
  </si>
  <si>
    <t>Rated Capacity Per Annum</t>
  </si>
  <si>
    <t xml:space="preserve">          -Palm Oil</t>
  </si>
  <si>
    <t>MTPA</t>
  </si>
  <si>
    <t xml:space="preserve">          -Mustard Oil</t>
  </si>
  <si>
    <t xml:space="preserve">          -Soft Oil</t>
  </si>
  <si>
    <t>Number of Operational Days</t>
  </si>
  <si>
    <t>Days</t>
  </si>
  <si>
    <t>Working Hours Per day</t>
  </si>
  <si>
    <t>Hrs</t>
  </si>
  <si>
    <t>CAPACITY UTILIZATION</t>
  </si>
  <si>
    <t>Year I</t>
  </si>
  <si>
    <t>Year II</t>
  </si>
  <si>
    <t>Year III</t>
  </si>
  <si>
    <t>Year IV onwards</t>
  </si>
  <si>
    <t>+5%</t>
  </si>
  <si>
    <t>SALES PRICE/MT</t>
  </si>
  <si>
    <t>Palm Oil</t>
  </si>
  <si>
    <t>Rs./MT</t>
  </si>
  <si>
    <t>Mustard Oil</t>
  </si>
  <si>
    <t>Soft Oil</t>
  </si>
  <si>
    <t>Fatty Acids(Crude Palm)</t>
  </si>
  <si>
    <t>Residue(Mustard Seeds)</t>
  </si>
  <si>
    <t>Fatty Acids(Crude Oil)</t>
  </si>
  <si>
    <t>Increase in price</t>
  </si>
  <si>
    <t>%</t>
  </si>
  <si>
    <t>RAW MATERIAL REQD./MT OF FG</t>
  </si>
  <si>
    <t>Crude Palm Oil</t>
  </si>
  <si>
    <t>Mustard Seeds</t>
  </si>
  <si>
    <t>Crude Oil</t>
  </si>
  <si>
    <t>Phosphoric Acid</t>
  </si>
  <si>
    <t>Bleaching Powder</t>
  </si>
  <si>
    <t>Activated Carbon</t>
  </si>
  <si>
    <t>RAW MATERIAL PRICE/MT</t>
  </si>
  <si>
    <t>POWER</t>
  </si>
  <si>
    <t>Connected Load</t>
  </si>
  <si>
    <t>RATE OF DEPRICIATION</t>
  </si>
  <si>
    <t>Building</t>
  </si>
  <si>
    <t>Plant &amp; Machinery</t>
  </si>
  <si>
    <t>Misc. Fixed Assets</t>
  </si>
  <si>
    <t>MAINTENANCE</t>
  </si>
  <si>
    <t>Land Development etc.</t>
  </si>
  <si>
    <t>A).</t>
  </si>
  <si>
    <t>Cost of the land</t>
  </si>
  <si>
    <t>Lakhs</t>
  </si>
  <si>
    <t>Stamp duty</t>
  </si>
  <si>
    <t>Misc. expencess</t>
  </si>
  <si>
    <t>SubTotal A</t>
  </si>
  <si>
    <t>B).</t>
  </si>
  <si>
    <t>Land filling and labeling 
30534 x 1.50 =45801  M3 @ 1100/-</t>
  </si>
  <si>
    <t>Sub Total B</t>
  </si>
  <si>
    <t>C).</t>
  </si>
  <si>
    <t>Compound boundary wall 710 M @ 7500/-</t>
  </si>
  <si>
    <t>Sub Total C</t>
  </si>
  <si>
    <t>D.</t>
  </si>
  <si>
    <t>Boundary side lights and self on Off system by Photo cell controlls</t>
  </si>
  <si>
    <t>Sub Total D</t>
  </si>
  <si>
    <t>Grand Total Amt. (Rs.)</t>
  </si>
  <si>
    <t>Rounded OFF</t>
  </si>
  <si>
    <t>Factory Building</t>
  </si>
  <si>
    <t>S. No.</t>
  </si>
  <si>
    <t>Items</t>
  </si>
  <si>
    <t>Area</t>
  </si>
  <si>
    <t>Rate</t>
  </si>
  <si>
    <t>Amt. (Rs.)</t>
  </si>
  <si>
    <t>Admin Block + Guest House</t>
  </si>
  <si>
    <t>2 Flr</t>
  </si>
  <si>
    <t>Packing Section</t>
  </si>
  <si>
    <t>2*50</t>
  </si>
  <si>
    <t>Dispatch Section</t>
  </si>
  <si>
    <t>Weigh Bridge Room</t>
  </si>
  <si>
    <t>Time office</t>
  </si>
  <si>
    <t>Laboratory</t>
  </si>
  <si>
    <t>Electrical Room</t>
  </si>
  <si>
    <t>D G Set Room</t>
  </si>
  <si>
    <t>General Store (02 Nos.)</t>
  </si>
  <si>
    <t>Chemical Store</t>
  </si>
  <si>
    <t>Canteen</t>
  </si>
  <si>
    <t>Toilet Blocks  (02 - Nos.)</t>
  </si>
  <si>
    <t>Workers Retiring Room</t>
  </si>
  <si>
    <t>Water Treatment Section</t>
  </si>
  <si>
    <t>Internal Roads approx Mtrs</t>
  </si>
  <si>
    <t>Drainage approx Mtrs</t>
  </si>
  <si>
    <t>Drain Covers (Nos)</t>
  </si>
  <si>
    <t>Total Amount (Rs.)</t>
  </si>
  <si>
    <t>Rounded off</t>
  </si>
  <si>
    <t>SL. No.</t>
  </si>
  <si>
    <t>Description</t>
  </si>
  <si>
    <t>Make</t>
  </si>
  <si>
    <t>Capacity</t>
  </si>
  <si>
    <t>(Rs in Lakhs)</t>
  </si>
  <si>
    <t xml:space="preserve">Oil Mill Section Mustard Oil Based: </t>
  </si>
  <si>
    <t>a. Chillex 150 TPD complete with automation and attached with suitable expellers set &amp; installations</t>
  </si>
  <si>
    <t>H&amp;G</t>
  </si>
  <si>
    <t>150 TPD</t>
  </si>
  <si>
    <t>b. Silo and day tanks complete with conveyers and screen cleaning and installations</t>
  </si>
  <si>
    <t>PDM</t>
  </si>
  <si>
    <t>3000*2, 100*2</t>
  </si>
  <si>
    <t xml:space="preserve">a. Continuous Physical refinery consisting Pre-treatment, Bleaching, deodorization fatty acid recovery system &amp; installations etc.  </t>
  </si>
  <si>
    <t>Crompton</t>
  </si>
  <si>
    <t>600 TPD/100 TPD</t>
  </si>
  <si>
    <t xml:space="preserve">Fractationation Plant  </t>
  </si>
  <si>
    <t>500/600 TPD</t>
  </si>
  <si>
    <t>Membrane Filtration system</t>
  </si>
  <si>
    <t xml:space="preserve">High Pressure thermosyphone Water Heating system for Deodorizer Heating </t>
  </si>
  <si>
    <t>2 Mkcal, 1.5 Mkcal</t>
  </si>
  <si>
    <t>Chilling system or Vapour Absorbing system for Fract Plant as above with all accessories  &amp; Installations</t>
  </si>
  <si>
    <t>Thermax</t>
  </si>
  <si>
    <t>300 TR</t>
  </si>
  <si>
    <t xml:space="preserve">Continuous refinery for soft Oil like Soya ,Sunflower, with continuous Pre-treatment bleaching and deodorization </t>
  </si>
  <si>
    <t>300  TPD</t>
  </si>
  <si>
    <t>Self-Cleaning Centrifuge for Pre-treatment and Neutralization ,washing</t>
  </si>
  <si>
    <t>300 TPD</t>
  </si>
  <si>
    <t xml:space="preserve">Intermediate Tanks ,with level transmitters and temperature control Device </t>
  </si>
  <si>
    <t>Tin /JAR Filling &amp; Packaging lines to pack from 2 litre to 15 litre</t>
  </si>
  <si>
    <t>Fittiz</t>
  </si>
  <si>
    <t xml:space="preserve">Pouch filling machines  lines  to pack 500 ml to 1 litre packs  </t>
  </si>
  <si>
    <t>Samarpan</t>
  </si>
  <si>
    <t xml:space="preserve">Bottle filling line  to pack 500 ml to 2 liter bottle/jar with complete Automation </t>
  </si>
  <si>
    <t>Spanpack, others</t>
  </si>
  <si>
    <t>Blow moulding machine ,Injection Moulding machine for jar and cap making of different size</t>
  </si>
  <si>
    <t>Weldco</t>
  </si>
  <si>
    <t xml:space="preserve">Pet Bottle manufacturing Machine  with die and  compressor  </t>
  </si>
  <si>
    <t>50000 Nos.</t>
  </si>
  <si>
    <t xml:space="preserve">Tin container Manufacturing Plant capacity to make 15000 Tin per day </t>
  </si>
  <si>
    <t>Polytech</t>
  </si>
  <si>
    <t xml:space="preserve">Polish filter Vitamin dozing system and automation in Packaging lines  </t>
  </si>
  <si>
    <t xml:space="preserve">Bakery Fat &amp;shortening Manufacturing Plant  and Margarine  plant  with all blending Tanks &amp;Accessories </t>
  </si>
  <si>
    <t>Standard</t>
  </si>
  <si>
    <t>100 TPD</t>
  </si>
  <si>
    <t>ACID Oil Plant complete  suitable for 250tpd refinery</t>
  </si>
  <si>
    <t>GNA</t>
  </si>
  <si>
    <t xml:space="preserve">Air Compressor Dryers &amp; accessories </t>
  </si>
  <si>
    <t>LG</t>
  </si>
  <si>
    <t>1200 CFM</t>
  </si>
  <si>
    <t xml:space="preserve">Fire Hydrant System  all around the factory </t>
  </si>
  <si>
    <t>storage Tanks ,MOC- MS , SS, Capacity 30000 MT With all pipe line, Valves , Automation for gauging system, steam PRS ETC</t>
  </si>
  <si>
    <t xml:space="preserve">Effluent treatment Plant flow 150 M3 </t>
  </si>
  <si>
    <t>Greenzone</t>
  </si>
  <si>
    <t xml:space="preserve">Pipe Lines /Valves /Instrumentation </t>
  </si>
  <si>
    <t>Tata</t>
  </si>
  <si>
    <t xml:space="preserve">Insulation for Tanks and others </t>
  </si>
  <si>
    <t xml:space="preserve">D G SET  1000X2 </t>
  </si>
  <si>
    <t>Kirloskar</t>
  </si>
  <si>
    <t>Lab Equipment  etc</t>
  </si>
  <si>
    <t>Various</t>
  </si>
  <si>
    <t xml:space="preserve">Weigh bridge  capacity 100 MT </t>
  </si>
  <si>
    <t>EWS</t>
  </si>
  <si>
    <t>2 NOS</t>
  </si>
  <si>
    <t>Water treatment RO/DM /SOFTNING plant</t>
  </si>
  <si>
    <t>45 M3/hr</t>
  </si>
  <si>
    <t xml:space="preserve">24 MT High pressure Steam convertible Power Boiler including Steam Turbine of 5 MW to produce the power </t>
  </si>
  <si>
    <t>Cheema boiler</t>
  </si>
  <si>
    <t>24 mt / 5MW</t>
  </si>
  <si>
    <t>Electrical Substation 2500 kva Transformer vacuum circuit Breakers .LT Panels, capacitor Banks all protection device  etc</t>
  </si>
  <si>
    <t xml:space="preserve">All HT /LT Cables , tray , fittings MCC all electrical </t>
  </si>
  <si>
    <t>BAG</t>
  </si>
  <si>
    <t>Coal Crushing and Coal Handling system</t>
  </si>
  <si>
    <t>Bevcon</t>
  </si>
  <si>
    <t>Low Pressure Boiler Comp with mountings</t>
  </si>
  <si>
    <t>Ash Handling system and ash removal system Complete installation in all respect</t>
  </si>
  <si>
    <t>Total:</t>
  </si>
  <si>
    <t>OPERATING STATEMENT</t>
  </si>
  <si>
    <t xml:space="preserve">Name : </t>
  </si>
  <si>
    <t>Sl.</t>
  </si>
  <si>
    <t>Particulars</t>
  </si>
  <si>
    <t>No</t>
  </si>
  <si>
    <t>i)</t>
  </si>
  <si>
    <t xml:space="preserve">Sales </t>
  </si>
  <si>
    <t>a</t>
  </si>
  <si>
    <t>Domestic Sales</t>
  </si>
  <si>
    <t>b</t>
  </si>
  <si>
    <t>Export Sales</t>
  </si>
  <si>
    <t>rise/fall in Net Sales</t>
  </si>
  <si>
    <t>ii)</t>
  </si>
  <si>
    <t>Other Operating Income</t>
  </si>
  <si>
    <t>iii)</t>
  </si>
  <si>
    <t>Total (i) + (ii)</t>
  </si>
  <si>
    <t>Cost of Sales</t>
  </si>
  <si>
    <t>Raw Materials including</t>
  </si>
  <si>
    <t>Stores &amp; other items</t>
  </si>
  <si>
    <t>used in the process of</t>
  </si>
  <si>
    <t>manufacturing</t>
  </si>
  <si>
    <t>Indigeneous</t>
  </si>
  <si>
    <t>Consumable Stores</t>
  </si>
  <si>
    <t>Imported</t>
  </si>
  <si>
    <t>Power, Fuel, Utilities etc.</t>
  </si>
  <si>
    <t>iv)</t>
  </si>
  <si>
    <t>Direct Labour</t>
  </si>
  <si>
    <t>(factory wages &amp; salaries)</t>
  </si>
  <si>
    <t>v)</t>
  </si>
  <si>
    <t>Repairs &amp; Maintenance</t>
  </si>
  <si>
    <t>vi)</t>
  </si>
  <si>
    <t>Depreciation</t>
  </si>
  <si>
    <t>vii)</t>
  </si>
  <si>
    <t>SUB TOTAL (i to vi)</t>
  </si>
  <si>
    <t>viii)</t>
  </si>
  <si>
    <t>Add: Op. Stock of WIP</t>
  </si>
  <si>
    <t>ix)</t>
  </si>
  <si>
    <t>Less: Cl. Stock of WIP</t>
  </si>
  <si>
    <t>x)</t>
  </si>
  <si>
    <t>Cost of Production (vii+viii-ix)</t>
  </si>
  <si>
    <t xml:space="preserve"> ` </t>
  </si>
  <si>
    <t>xi)</t>
  </si>
  <si>
    <t>Add: Op. Stock of Finished Goods</t>
  </si>
  <si>
    <t>xii)</t>
  </si>
  <si>
    <t>Less Cl. Stock of Finished Goods</t>
  </si>
  <si>
    <t>xiii)</t>
  </si>
  <si>
    <t>Total Cost of Sales (x+xi-xiii)</t>
  </si>
  <si>
    <t>Selling, General &amp; Admn.Exp.</t>
  </si>
  <si>
    <t>(Including Bonus payments)</t>
  </si>
  <si>
    <t>Operating Profit before Interest</t>
  </si>
  <si>
    <t>[1(iii) - 2(xiii) - 3]</t>
  </si>
  <si>
    <t>Interest</t>
  </si>
  <si>
    <t>On Term Loans</t>
  </si>
  <si>
    <t>ii</t>
  </si>
  <si>
    <t>On Working Capital</t>
  </si>
  <si>
    <t>on Others</t>
  </si>
  <si>
    <t>Total Interest</t>
  </si>
  <si>
    <t>Operating Profit after Interest</t>
  </si>
  <si>
    <t>&amp; depreciation (4-5)</t>
  </si>
  <si>
    <t>Add : Non operating Income</t>
  </si>
  <si>
    <t>Less: Non Operating Expenses</t>
  </si>
  <si>
    <t>Profit before Tax/Loss</t>
  </si>
  <si>
    <t>Tax Expense</t>
  </si>
  <si>
    <t>Profit after Tax</t>
  </si>
  <si>
    <t>Dividend / Withdrawals</t>
  </si>
  <si>
    <t>Retained Profit</t>
  </si>
  <si>
    <t xml:space="preserve">Retained Profit/Net Profit </t>
  </si>
  <si>
    <t>Analysis of BALANCE SHEET</t>
  </si>
  <si>
    <t xml:space="preserve">Name: </t>
  </si>
  <si>
    <t xml:space="preserve">  </t>
  </si>
  <si>
    <t>No.</t>
  </si>
  <si>
    <t>LIABILITIES</t>
  </si>
  <si>
    <t>CURRENT LIABILITIES</t>
  </si>
  <si>
    <t>Short Term Borrowings from banks</t>
  </si>
  <si>
    <t>(Including Bills Purchased, etc.)</t>
  </si>
  <si>
    <t>a)</t>
  </si>
  <si>
    <t>From Applicant Bank</t>
  </si>
  <si>
    <t>b)</t>
  </si>
  <si>
    <t>From other Banks</t>
  </si>
  <si>
    <t>c)</t>
  </si>
  <si>
    <t>(of which BP and BD)</t>
  </si>
  <si>
    <t>SUB TOTAL  -A</t>
  </si>
  <si>
    <t>Short Term Borrowings from others</t>
  </si>
  <si>
    <t>Sundry Creditors (Suppliers of Raw</t>
  </si>
  <si>
    <t>materials, stores &amp; consumables)</t>
  </si>
  <si>
    <t>(month's purchases)</t>
  </si>
  <si>
    <t>Advance payments from customers/</t>
  </si>
  <si>
    <t>deposits from dealers</t>
  </si>
  <si>
    <t>Provision for  taxation</t>
  </si>
  <si>
    <t>Dividend payable</t>
  </si>
  <si>
    <t>Other Statutory Liabilities</t>
  </si>
  <si>
    <t>(due within one year)</t>
  </si>
  <si>
    <t>Deposits/Debentures/Instalments</t>
  </si>
  <si>
    <t>under term loan/DPGs, etc</t>
  </si>
  <si>
    <t>-</t>
  </si>
  <si>
    <t>Term loan</t>
  </si>
  <si>
    <t>Vehicle Loan</t>
  </si>
  <si>
    <t>Other current liabilities &amp; provisions</t>
  </si>
  <si>
    <t>SUB TOTAL - B  (2 to 9)</t>
  </si>
  <si>
    <t>TOTAL CURRENT LIABILITIES (1 to 9)</t>
  </si>
  <si>
    <t>TERM LIABILITIES</t>
  </si>
  <si>
    <t>Debentures</t>
  </si>
  <si>
    <t>Preference Shares</t>
  </si>
  <si>
    <t>Term loans</t>
  </si>
  <si>
    <t>(Excluding instalments due within 1 year)</t>
  </si>
  <si>
    <t>Advance received for Capital Assets</t>
  </si>
  <si>
    <t>Unsecured Loans</t>
  </si>
  <si>
    <t>Other Term Liabilities</t>
  </si>
  <si>
    <t>TOTAL TERM LIABILITIES (Total of</t>
  </si>
  <si>
    <t>11 to 16)</t>
  </si>
  <si>
    <t>TOTAL OUTSIDE LIABILITIES (10+17)</t>
  </si>
  <si>
    <r>
      <t xml:space="preserve">NET WORTH </t>
    </r>
    <r>
      <rPr>
        <b/>
        <i/>
        <sz val="11"/>
        <rFont val="Calibri"/>
        <family val="2"/>
        <scheme val="minor"/>
      </rPr>
      <t>(Sum of items against 19 to 23)</t>
    </r>
  </si>
  <si>
    <t>Share  Capital</t>
  </si>
  <si>
    <t>Share Premium</t>
  </si>
  <si>
    <t>Other Reserves</t>
  </si>
  <si>
    <t>General Reserve</t>
  </si>
  <si>
    <t>Deferred Tax Liability</t>
  </si>
  <si>
    <t>Surplus/Deficit in P &amp; L Account</t>
  </si>
  <si>
    <t>NET WORTH</t>
  </si>
  <si>
    <t>TOTAL LIABILITIES (18+24)</t>
  </si>
  <si>
    <t>ASSETS</t>
  </si>
  <si>
    <t>CURRENT ASSETS</t>
  </si>
  <si>
    <t>Cash &amp; Bank Balance</t>
  </si>
  <si>
    <t xml:space="preserve">Investments (other than long term </t>
  </si>
  <si>
    <t>investments)</t>
  </si>
  <si>
    <t>(i)</t>
  </si>
  <si>
    <t>Government &amp; other trustee</t>
  </si>
  <si>
    <t>securities</t>
  </si>
  <si>
    <t>(ii)</t>
  </si>
  <si>
    <t>Fixed deposits with banks</t>
  </si>
  <si>
    <t xml:space="preserve">Receivables Other than Deferred </t>
  </si>
  <si>
    <t>&amp; exports (including bills purchased</t>
  </si>
  <si>
    <t>&amp; discounted by bankers):</t>
  </si>
  <si>
    <t>Export receivables (including bills</t>
  </si>
  <si>
    <t>purchased/discounted by bankers)</t>
  </si>
  <si>
    <t>(months' export sales)</t>
  </si>
  <si>
    <t>Instalments of Deferred Receivables</t>
  </si>
  <si>
    <t>Inventory</t>
  </si>
  <si>
    <t xml:space="preserve">Raw Materials </t>
  </si>
  <si>
    <t>Indigenous</t>
  </si>
  <si>
    <t>Work in Progress</t>
  </si>
  <si>
    <t>Finished Goods</t>
  </si>
  <si>
    <t>Other Consumable Stores &amp; Coal</t>
  </si>
  <si>
    <t>Advances to Suppliers of raw</t>
  </si>
  <si>
    <t>materials, stores and spares</t>
  </si>
  <si>
    <t>Advance payment of Taxes</t>
  </si>
  <si>
    <t>Other Current Assets</t>
  </si>
  <si>
    <t>TOTAL CURRENT ASSETS (26+33)</t>
  </si>
  <si>
    <t>FIXED ASSETS</t>
  </si>
  <si>
    <t>Gross Block (WDV)</t>
  </si>
  <si>
    <t>Net Block</t>
  </si>
  <si>
    <t>Investments / book debts / advances /</t>
  </si>
  <si>
    <t>Security Deposit</t>
  </si>
  <si>
    <t>Other Non current assets (including dues</t>
  </si>
  <si>
    <t>from directors)</t>
  </si>
  <si>
    <t>TOTAL OTHER NON-CURRENT ASSETS</t>
  </si>
  <si>
    <t>(Total of 36 to 38)</t>
  </si>
  <si>
    <r>
      <t xml:space="preserve">INTANGIBLE ASSETS </t>
    </r>
    <r>
      <rPr>
        <sz val="11"/>
        <rFont val="Calibri"/>
        <family val="2"/>
        <scheme val="minor"/>
      </rPr>
      <t>(patents, goodwill</t>
    </r>
  </si>
  <si>
    <t>prelm expenses, etc)</t>
  </si>
  <si>
    <t>TOTAL ASSETS  (34+35+39+40)</t>
  </si>
  <si>
    <t>TANGIBLE NET-WORTH</t>
  </si>
  <si>
    <t>NET WORKING CAPITAL</t>
  </si>
  <si>
    <t>CURRENT RATIO</t>
  </si>
  <si>
    <t>CURRENT RATIO(Without TL instl)</t>
  </si>
  <si>
    <t>TOL/TNW</t>
  </si>
  <si>
    <t>CASH FLOW STATEMENT</t>
  </si>
  <si>
    <t>(Amt in Crores)</t>
  </si>
  <si>
    <t>Sl</t>
  </si>
  <si>
    <t>A</t>
  </si>
  <si>
    <t>SOURCES OF FUND</t>
  </si>
  <si>
    <t>Capital</t>
  </si>
  <si>
    <t>Increase/Decrease in Reserves and Surplus</t>
  </si>
  <si>
    <t>Profit before Taxation with interest added back</t>
  </si>
  <si>
    <t>Depreciation Provision</t>
  </si>
  <si>
    <t>Preliminary Exp W/off</t>
  </si>
  <si>
    <t>Increase in Term Loan/FLC</t>
  </si>
  <si>
    <t>Increase in Unsecured Loans</t>
  </si>
  <si>
    <t>Increase in W/C Bank Borrowing</t>
  </si>
  <si>
    <t>Increase in Other Current Liab.</t>
  </si>
  <si>
    <t>Increase in Other Term Liab.</t>
  </si>
  <si>
    <t>TOTAL- (A)</t>
  </si>
  <si>
    <t>B</t>
  </si>
  <si>
    <t>DISPOSITION OF FUNDS</t>
  </si>
  <si>
    <t xml:space="preserve">Capital Exp. </t>
  </si>
  <si>
    <t>Increase in Working Capital</t>
  </si>
  <si>
    <t>Increase inOther Current Assets</t>
  </si>
  <si>
    <t>Decrease in Term Loan</t>
  </si>
  <si>
    <t>Decrease in Unsecured Loans</t>
  </si>
  <si>
    <t>Increase in Non Current Asset</t>
  </si>
  <si>
    <t>Interest on Term Loan</t>
  </si>
  <si>
    <t>Interest on Bank Borrowing-W/C</t>
  </si>
  <si>
    <t>Income Tax</t>
  </si>
  <si>
    <t>TOTAL -(B)</t>
  </si>
  <si>
    <t>C</t>
  </si>
  <si>
    <t>OPENING CASH BALANCE</t>
  </si>
  <si>
    <t>D</t>
  </si>
  <si>
    <t>NET SURPLUS/DEFICIT</t>
  </si>
  <si>
    <t>E</t>
  </si>
  <si>
    <t>CLOSING CASH BALANCE</t>
  </si>
  <si>
    <t>Upfront Fee</t>
  </si>
  <si>
    <t>COSTS OF THE PROJECT &amp; MEANS OF FINANCE</t>
  </si>
  <si>
    <t>I.</t>
  </si>
  <si>
    <t>COSTS OF THE PROJECT</t>
  </si>
  <si>
    <t>II.</t>
  </si>
  <si>
    <t>MEANS OF FINANCE</t>
  </si>
  <si>
    <t>Land &amp; Site Development</t>
  </si>
  <si>
    <t>(in Rs. Crores unless otherwise stated)</t>
  </si>
  <si>
    <t>Building &amp; Civil structures</t>
  </si>
  <si>
    <t>Pre-operative &amp; Preliminary Expenses</t>
  </si>
  <si>
    <t>Miscellaneous Fixed Assets</t>
  </si>
  <si>
    <t>Contingencies @3%</t>
  </si>
  <si>
    <t>Working Capital Margin</t>
  </si>
  <si>
    <t>TOTAL</t>
  </si>
  <si>
    <t>IMPLEMENTATION SCHEDULE</t>
  </si>
  <si>
    <t>Total</t>
  </si>
  <si>
    <t>Total Fund Requirement</t>
  </si>
  <si>
    <t>Equity</t>
  </si>
  <si>
    <t>Debt-equity</t>
  </si>
  <si>
    <t>Interest During Construction</t>
  </si>
  <si>
    <t>Pre-operative</t>
  </si>
  <si>
    <t>Contingencies</t>
  </si>
  <si>
    <t>Promoters' Contribution</t>
  </si>
  <si>
    <t>Hours per day</t>
  </si>
  <si>
    <t>No. of shifts</t>
  </si>
  <si>
    <t>No. of working days</t>
  </si>
  <si>
    <t>(in MT)</t>
  </si>
  <si>
    <t>Production per day</t>
  </si>
  <si>
    <t>Annual Production</t>
  </si>
  <si>
    <t>Production per hour</t>
  </si>
  <si>
    <t>Installed Capacity</t>
  </si>
  <si>
    <t>Capacity Utilization</t>
  </si>
  <si>
    <t>Production</t>
  </si>
  <si>
    <t>UOM</t>
  </si>
  <si>
    <t>Opening Stock</t>
  </si>
  <si>
    <t>Closing Stock</t>
  </si>
  <si>
    <t>Sales</t>
  </si>
  <si>
    <t>Sales Price</t>
  </si>
  <si>
    <t>per MT</t>
  </si>
  <si>
    <t>Sales Amount</t>
  </si>
  <si>
    <t>Rs. In Crs</t>
  </si>
  <si>
    <t>Total Revenue</t>
  </si>
  <si>
    <t>Revenue from Operations</t>
  </si>
  <si>
    <t>Placement / Description</t>
  </si>
  <si>
    <t xml:space="preserve">No of </t>
  </si>
  <si>
    <t>persons</t>
  </si>
  <si>
    <t>(Rs.)</t>
  </si>
  <si>
    <t>Factory Personnel</t>
  </si>
  <si>
    <t>Plant In Charge</t>
  </si>
  <si>
    <t>Maint. Engineer</t>
  </si>
  <si>
    <t>Electric Engg.</t>
  </si>
  <si>
    <t>Production clerk</t>
  </si>
  <si>
    <t>Machine supervisor</t>
  </si>
  <si>
    <t>Machine operators</t>
  </si>
  <si>
    <t>Quality control supervisor</t>
  </si>
  <si>
    <t>Mechanic &amp; Foreman</t>
  </si>
  <si>
    <t>Security</t>
  </si>
  <si>
    <t>Office Personnel</t>
  </si>
  <si>
    <t>General Manager</t>
  </si>
  <si>
    <t>Accountant</t>
  </si>
  <si>
    <t>Store keeper</t>
  </si>
  <si>
    <t>Lab Assistants</t>
  </si>
  <si>
    <t>Clerks</t>
  </si>
  <si>
    <t>Skilled Labour</t>
  </si>
  <si>
    <t>Unskilled Labour</t>
  </si>
  <si>
    <t>Casual Labour</t>
  </si>
  <si>
    <t>Pay / Month</t>
  </si>
  <si>
    <t>Raw Material Required</t>
  </si>
  <si>
    <t>Raw Material Prices</t>
  </si>
  <si>
    <t>Rs per MT</t>
  </si>
  <si>
    <t>Raw Material Costs</t>
  </si>
  <si>
    <t>CALCULATION OF RAW MATERIAL CONSUMPTION</t>
  </si>
  <si>
    <t>Cost of Consumables</t>
  </si>
  <si>
    <t>Rate per MT</t>
  </si>
  <si>
    <t>Total Production</t>
  </si>
  <si>
    <t>Rs. In Crores</t>
  </si>
  <si>
    <t>CALCULATION OF COST OF CONSUMABLES</t>
  </si>
  <si>
    <t>POWER &amp; FUEL COSTS:</t>
  </si>
  <si>
    <t>Power Consumption p.u.</t>
  </si>
  <si>
    <t>Kwh</t>
  </si>
  <si>
    <t>Production at 100% capacity</t>
  </si>
  <si>
    <t>Power Consumption at 100% capacity</t>
  </si>
  <si>
    <t>Capacity Utilisation</t>
  </si>
  <si>
    <t>Power Consumed</t>
  </si>
  <si>
    <t>Rate per unit</t>
  </si>
  <si>
    <t>Power Costs</t>
  </si>
  <si>
    <t>Rs./Kwh</t>
  </si>
  <si>
    <t>Fuel Costs</t>
  </si>
  <si>
    <t>Total Power &amp; Fuel Costs</t>
  </si>
  <si>
    <t>Months in Operation</t>
  </si>
  <si>
    <t>Annual Benefits @20%</t>
  </si>
  <si>
    <t>Incremental Salary</t>
  </si>
  <si>
    <t>Total Manpower Costs (Rs. In Crores)</t>
  </si>
  <si>
    <t>CALCULATION OF COST OF REPAIRS &amp; MAINTENANCE</t>
  </si>
  <si>
    <t>Value of Building &amp; Civil Structures</t>
  </si>
  <si>
    <t>Value of Plant &amp; Machinery</t>
  </si>
  <si>
    <t>Cost of Repairs &amp; Maintenance</t>
  </si>
  <si>
    <t>Building &amp; Civil Structures</t>
  </si>
  <si>
    <t>CALCULATION OF DEPRECIATION</t>
  </si>
  <si>
    <t>Opening Balance</t>
  </si>
  <si>
    <t>Addition/Sales</t>
  </si>
  <si>
    <t>Closing Balance</t>
  </si>
  <si>
    <t>Depreciation for the year</t>
  </si>
  <si>
    <t>Depreciation Rate</t>
  </si>
  <si>
    <t>CALCULATION OF WORKING CAPITAL REQUIREMENT</t>
  </si>
  <si>
    <t>Raw Material</t>
  </si>
  <si>
    <t>Receivables</t>
  </si>
  <si>
    <t>Months' Consumption</t>
  </si>
  <si>
    <t>Months' gross sales</t>
  </si>
  <si>
    <t>Consumables</t>
  </si>
  <si>
    <t xml:space="preserve">Total </t>
  </si>
  <si>
    <t>Creditors</t>
  </si>
  <si>
    <t>Months' Purchases</t>
  </si>
  <si>
    <t>WC Margin</t>
  </si>
  <si>
    <t>Consumbales</t>
  </si>
  <si>
    <t>Opening Stock of RM</t>
  </si>
  <si>
    <t>Closing Stock of RM</t>
  </si>
  <si>
    <t>Purchases of RM</t>
  </si>
  <si>
    <t>Bank Eligible Finance</t>
  </si>
  <si>
    <t>Bank Finance Required</t>
  </si>
  <si>
    <t>WC Interest</t>
  </si>
  <si>
    <t>Rate of Interest on WC</t>
  </si>
  <si>
    <t>FG</t>
  </si>
  <si>
    <t>SG&amp;A Expenses</t>
  </si>
  <si>
    <t>By-Product Sales</t>
  </si>
  <si>
    <t>TERM LOAN REPAYMENT SCHEDULE &amp; CALCULATION OF INTERESTS</t>
  </si>
  <si>
    <t>Repayment</t>
  </si>
  <si>
    <t>April</t>
  </si>
  <si>
    <t>Rate of Interest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</si>
  <si>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</si>
  <si>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</si>
  <si>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</si>
  <si>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</si>
  <si>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</si>
  <si>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</si>
  <si>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</si>
  <si>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</si>
  <si>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</si>
  <si>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</si>
  <si>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</si>
  <si>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TOTAL INTEREST FOR THE YEAR</t>
  </si>
  <si>
    <t>LOAN REPAID DURING THE YEAR</t>
  </si>
  <si>
    <t>IDC</t>
  </si>
  <si>
    <t>FY Ending -&gt;</t>
  </si>
  <si>
    <t>CUMULATIVE LOAN REPAYMENT</t>
  </si>
  <si>
    <t>Tax Rate</t>
  </si>
  <si>
    <t>COMPANY NAME</t>
  </si>
  <si>
    <t>SOME RANDOM COMPANY LTD.</t>
  </si>
  <si>
    <t>Additions</t>
  </si>
  <si>
    <t>Closing Gross Block</t>
  </si>
  <si>
    <t>Opening Gross Block</t>
  </si>
  <si>
    <t>Accumulated Depreciation</t>
  </si>
  <si>
    <t>NA</t>
  </si>
  <si>
    <t>EBITDA</t>
  </si>
  <si>
    <t>EBITDA Margin</t>
  </si>
  <si>
    <t>Interest Coverage</t>
  </si>
  <si>
    <t xml:space="preserve">RTL </t>
  </si>
  <si>
    <t>CHECK</t>
  </si>
  <si>
    <t>DEBT SERVICE COVERAGE RATIO</t>
  </si>
  <si>
    <t>Installments of Term Loan</t>
  </si>
  <si>
    <t>DSCR</t>
  </si>
  <si>
    <t>Average DSCR</t>
  </si>
  <si>
    <t>For Year 1 &amp; 2</t>
  </si>
  <si>
    <t>Year 3 onwards</t>
  </si>
  <si>
    <t>Return on Capital Employed</t>
  </si>
  <si>
    <t>Finance Cost</t>
  </si>
  <si>
    <t>Total Assets</t>
  </si>
  <si>
    <t>Current Liabilities</t>
  </si>
  <si>
    <t>Capital Employed</t>
  </si>
  <si>
    <t>EBIT</t>
  </si>
  <si>
    <t>ROCE</t>
  </si>
  <si>
    <t>Average ROCE</t>
  </si>
  <si>
    <t>INTERNAL RATE OF RETURN</t>
  </si>
  <si>
    <t>Net Cashflow</t>
  </si>
  <si>
    <t>IRR</t>
  </si>
  <si>
    <t>Terminal Value</t>
  </si>
  <si>
    <t>deposits which are not current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</si>
</sst>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 * #,##0.00_ ;_ * \-#,##0.00_ ;_ * &quot;-&quot;??_ ;_ @_ "/>
    <numFmt numFmtId="164" formatCode="0.0000000"/>
    <numFmt numFmtId="165" formatCode="0.000"/>
    <numFmt numFmtId="166" formatCode="#,##0.0000"/>
    <numFmt numFmtId="167" formatCode="_(* #,##0_);_(* \(#,##0\);_(* &quot;-&quot;??_);_(@_)"/>
    <numFmt numFmtId="168" formatCode="0.000%"/>
    <numFmt numFmtId="169" formatCode="_(* #,##0.00_);_(* \(#,##0.00\);_(* &quot;-&quot;??_);_(@_)"/>
    <numFmt numFmtId="170" formatCode="0.000000"/>
    <numFmt numFmtId="171" formatCode="_(* #,##0.00000_);_(* \(#,##0.00000\);_(* &quot;-&quot;??_);_(@_)"/>
    <numFmt numFmtId="172" formatCode="0.00_);\(0.00\)"/>
    <numFmt numFmtId="173" formatCode="0.00000000000000"/>
    <numFmt numFmtId="174" formatCode="0.0%"/>
    <numFmt numFmtId="175" formatCode="#.##;\(#.##\)"/>
    <numFmt numFmtId="176" formatCode="0.00;\(0.00\)"/>
    <numFmt numFmtId="177" formatCode="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b/>
      <u/>
      <sz val="11"/>
      <color theme="1"/>
      <name val="Cambria"/>
      <family val="1"/>
    </font>
    <font>
      <b/>
      <sz val="11"/>
      <color rgb="FF000000"/>
      <name val="Cambria"/>
      <family val="1"/>
    </font>
    <font>
      <sz val="11"/>
      <color rgb="FF000000"/>
      <name val="Cambria"/>
      <family val="1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</cellStyleXfs>
  <cellXfs count="475">
    <xf numFmtId="0" fontId="0" fillId="0" borderId="0" xfId="0"/>
    <xf numFmtId="0" fontId="3" fillId="2" borderId="1" xfId="0" applyFont="1" applyFill="1" applyBorder="1" applyAlignment="1">
      <alignment horizontal="center" vertical="top"/>
    </xf>
    <xf numFmtId="0" fontId="4" fillId="2" borderId="2" xfId="0" applyFont="1" applyFill="1" applyBorder="1" applyAlignment="1">
      <alignment vertical="top"/>
    </xf>
    <xf numFmtId="4" fontId="4" fillId="2" borderId="3" xfId="0" applyNumberFormat="1" applyFont="1" applyFill="1" applyBorder="1" applyAlignment="1" applyProtection="1">
      <alignment horizontal="center" vertical="top"/>
    </xf>
    <xf numFmtId="0" fontId="3" fillId="2" borderId="4" xfId="0" applyFont="1" applyFill="1" applyBorder="1" applyAlignment="1">
      <alignment horizontal="center" vertical="top"/>
    </xf>
    <xf numFmtId="0" fontId="3" fillId="2" borderId="0" xfId="0" applyFont="1" applyFill="1" applyBorder="1" applyAlignment="1" applyProtection="1">
      <alignment horizontal="centerContinuous" vertical="top"/>
    </xf>
    <xf numFmtId="4" fontId="4" fillId="2" borderId="5" xfId="0" applyNumberFormat="1" applyFont="1" applyFill="1" applyBorder="1" applyAlignment="1" applyProtection="1">
      <alignment horizontal="center" vertical="top"/>
    </xf>
    <xf numFmtId="0" fontId="3" fillId="2" borderId="6" xfId="0" applyFont="1" applyFill="1" applyBorder="1" applyAlignment="1">
      <alignment horizontal="center" vertical="top"/>
    </xf>
    <xf numFmtId="0" fontId="4" fillId="2" borderId="7" xfId="0" applyFont="1" applyFill="1" applyBorder="1" applyAlignment="1" applyProtection="1">
      <alignment horizontal="left" vertical="top"/>
    </xf>
    <xf numFmtId="4" fontId="4" fillId="2" borderId="8" xfId="0" applyNumberFormat="1" applyFont="1" applyFill="1" applyBorder="1" applyAlignment="1" applyProtection="1">
      <alignment horizontal="center" vertical="top"/>
    </xf>
    <xf numFmtId="0" fontId="3" fillId="2" borderId="9" xfId="0" applyFont="1" applyFill="1" applyBorder="1" applyAlignment="1" applyProtection="1">
      <alignment horizontal="center" vertical="top" wrapText="1"/>
    </xf>
    <xf numFmtId="4" fontId="3" fillId="2" borderId="9" xfId="0" applyNumberFormat="1" applyFont="1" applyFill="1" applyBorder="1" applyAlignment="1" applyProtection="1">
      <alignment horizontal="center" vertical="top" wrapText="1"/>
    </xf>
    <xf numFmtId="0" fontId="4" fillId="0" borderId="9" xfId="0" applyFont="1" applyFill="1" applyBorder="1" applyAlignment="1">
      <alignment horizontal="center" vertical="top"/>
    </xf>
    <xf numFmtId="0" fontId="4" fillId="0" borderId="9" xfId="0" applyFont="1" applyFill="1" applyBorder="1" applyAlignment="1">
      <alignment vertical="top"/>
    </xf>
    <xf numFmtId="2" fontId="4" fillId="0" borderId="9" xfId="0" applyNumberFormat="1" applyFont="1" applyFill="1" applyBorder="1" applyAlignment="1">
      <alignment horizontal="center" vertical="top"/>
    </xf>
    <xf numFmtId="0" fontId="3" fillId="0" borderId="9" xfId="0" applyFont="1" applyFill="1" applyBorder="1" applyAlignment="1">
      <alignment vertical="top"/>
    </xf>
    <xf numFmtId="2" fontId="3" fillId="0" borderId="9" xfId="0" applyNumberFormat="1" applyFont="1" applyFill="1" applyBorder="1" applyAlignment="1">
      <alignment horizontal="center" vertical="top"/>
    </xf>
    <xf numFmtId="0" fontId="5" fillId="3" borderId="0" xfId="0" applyFont="1" applyFill="1" applyAlignment="1">
      <alignment horizontal="centerContinuous"/>
    </xf>
    <xf numFmtId="0" fontId="0" fillId="3" borderId="0" xfId="0" applyFont="1" applyFill="1" applyAlignment="1">
      <alignment horizontal="centerContinuous"/>
    </xf>
    <xf numFmtId="0" fontId="0" fillId="0" borderId="0" xfId="0" applyFont="1"/>
    <xf numFmtId="0" fontId="2" fillId="3" borderId="0" xfId="0" applyFont="1" applyFill="1"/>
    <xf numFmtId="0" fontId="0" fillId="3" borderId="0" xfId="0" applyFont="1" applyFill="1"/>
    <xf numFmtId="9" fontId="0" fillId="0" borderId="0" xfId="0" applyNumberFormat="1" applyFont="1"/>
    <xf numFmtId="4" fontId="0" fillId="0" borderId="0" xfId="1" applyNumberFormat="1" applyFont="1"/>
    <xf numFmtId="164" fontId="0" fillId="0" borderId="0" xfId="0" applyNumberFormat="1" applyFont="1"/>
    <xf numFmtId="10" fontId="0" fillId="0" borderId="0" xfId="0" applyNumberFormat="1" applyFont="1"/>
    <xf numFmtId="0" fontId="0" fillId="3" borderId="0" xfId="0" applyFont="1" applyFill="1" applyAlignment="1">
      <alignment horizontal="center"/>
    </xf>
    <xf numFmtId="0" fontId="6" fillId="0" borderId="0" xfId="0" applyFont="1"/>
    <xf numFmtId="0" fontId="0" fillId="0" borderId="0" xfId="0" applyFont="1" applyAlignment="1">
      <alignment horizontal="center"/>
    </xf>
    <xf numFmtId="1" fontId="0" fillId="0" borderId="0" xfId="0" applyNumberFormat="1" applyFont="1"/>
    <xf numFmtId="9" fontId="0" fillId="0" borderId="0" xfId="0" quotePrefix="1" applyNumberFormat="1" applyFont="1" applyAlignment="1">
      <alignment horizontal="right"/>
    </xf>
    <xf numFmtId="165" fontId="0" fillId="0" borderId="0" xfId="0" applyNumberFormat="1" applyFont="1"/>
    <xf numFmtId="1" fontId="7" fillId="0" borderId="0" xfId="0" applyNumberFormat="1" applyFont="1"/>
    <xf numFmtId="0" fontId="9" fillId="0" borderId="0" xfId="0" applyFont="1" applyAlignment="1">
      <alignment vertical="top"/>
    </xf>
    <xf numFmtId="0" fontId="9" fillId="0" borderId="9" xfId="0" applyFont="1" applyBorder="1" applyAlignment="1">
      <alignment vertical="top"/>
    </xf>
    <xf numFmtId="2" fontId="9" fillId="0" borderId="9" xfId="0" applyNumberFormat="1" applyFont="1" applyBorder="1" applyAlignment="1">
      <alignment vertical="top"/>
    </xf>
    <xf numFmtId="2" fontId="9" fillId="0" borderId="0" xfId="0" applyNumberFormat="1" applyFont="1" applyAlignment="1">
      <alignment vertical="top"/>
    </xf>
    <xf numFmtId="0" fontId="8" fillId="0" borderId="4" xfId="0" applyFont="1" applyBorder="1" applyAlignment="1">
      <alignment horizontal="center" vertical="top"/>
    </xf>
    <xf numFmtId="0" fontId="8" fillId="0" borderId="0" xfId="0" applyFont="1" applyFill="1" applyBorder="1" applyAlignment="1">
      <alignment vertical="top"/>
    </xf>
    <xf numFmtId="2" fontId="8" fillId="0" borderId="0" xfId="0" applyNumberFormat="1" applyFont="1" applyBorder="1" applyAlignment="1">
      <alignment vertical="top"/>
    </xf>
    <xf numFmtId="0" fontId="8" fillId="0" borderId="5" xfId="0" applyFont="1" applyBorder="1" applyAlignment="1">
      <alignment vertical="top"/>
    </xf>
    <xf numFmtId="0" fontId="8" fillId="0" borderId="9" xfId="0" applyFont="1" applyBorder="1" applyAlignment="1">
      <alignment horizontal="center" vertical="top"/>
    </xf>
    <xf numFmtId="0" fontId="9" fillId="0" borderId="9" xfId="0" applyFont="1" applyBorder="1" applyAlignment="1">
      <alignment vertical="top" wrapText="1"/>
    </xf>
    <xf numFmtId="0" fontId="8" fillId="0" borderId="0" xfId="0" applyFont="1" applyBorder="1" applyAlignment="1">
      <alignment vertical="top"/>
    </xf>
    <xf numFmtId="2" fontId="8" fillId="0" borderId="9" xfId="0" applyNumberFormat="1" applyFont="1" applyBorder="1" applyAlignment="1">
      <alignment vertical="top"/>
    </xf>
    <xf numFmtId="0" fontId="8" fillId="0" borderId="9" xfId="0" applyFont="1" applyBorder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0" fontId="8" fillId="0" borderId="0" xfId="0" applyFont="1"/>
    <xf numFmtId="0" fontId="8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1" xfId="0" applyFont="1" applyBorder="1" applyAlignment="1">
      <alignment vertical="center"/>
    </xf>
    <xf numFmtId="0" fontId="9" fillId="0" borderId="0" xfId="0" applyNumberFormat="1" applyFont="1" applyAlignment="1">
      <alignment vertical="center"/>
    </xf>
    <xf numFmtId="0" fontId="8" fillId="0" borderId="9" xfId="0" applyFont="1" applyBorder="1"/>
    <xf numFmtId="0" fontId="11" fillId="0" borderId="17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left" vertical="center" wrapText="1"/>
    </xf>
    <xf numFmtId="0" fontId="9" fillId="0" borderId="19" xfId="0" applyFont="1" applyBorder="1" applyAlignment="1">
      <alignment vertical="top"/>
    </xf>
    <xf numFmtId="0" fontId="9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 vertical="center" wrapText="1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left" vertical="center"/>
    </xf>
    <xf numFmtId="0" fontId="9" fillId="0" borderId="19" xfId="0" applyFont="1" applyBorder="1" applyAlignment="1">
      <alignment vertical="center"/>
    </xf>
    <xf numFmtId="0" fontId="11" fillId="0" borderId="19" xfId="0" applyFont="1" applyBorder="1" applyAlignment="1">
      <alignment horizontal="right" vertical="center"/>
    </xf>
    <xf numFmtId="3" fontId="9" fillId="0" borderId="9" xfId="0" applyNumberFormat="1" applyFont="1" applyBorder="1" applyAlignment="1">
      <alignment horizontal="right" vertical="center"/>
    </xf>
    <xf numFmtId="3" fontId="8" fillId="0" borderId="9" xfId="0" applyNumberFormat="1" applyFont="1" applyBorder="1" applyAlignment="1">
      <alignment horizontal="right" vertical="center"/>
    </xf>
    <xf numFmtId="0" fontId="7" fillId="0" borderId="0" xfId="0" applyFont="1" applyFill="1" applyBorder="1" applyAlignment="1" applyProtection="1">
      <alignment horizontal="center" vertical="top"/>
      <protection hidden="1"/>
    </xf>
    <xf numFmtId="0" fontId="7" fillId="0" borderId="0" xfId="0" applyFont="1" applyFill="1" applyBorder="1" applyAlignment="1" applyProtection="1">
      <alignment vertical="top"/>
      <protection hidden="1"/>
    </xf>
    <xf numFmtId="0" fontId="7" fillId="0" borderId="0" xfId="0" applyFont="1" applyFill="1" applyAlignment="1" applyProtection="1">
      <alignment vertical="top"/>
      <protection hidden="1"/>
    </xf>
    <xf numFmtId="0" fontId="14" fillId="0" borderId="21" xfId="0" applyFont="1" applyFill="1" applyBorder="1" applyAlignment="1" applyProtection="1">
      <alignment horizontal="left" vertical="top"/>
      <protection hidden="1"/>
    </xf>
    <xf numFmtId="0" fontId="7" fillId="0" borderId="22" xfId="0" applyFont="1" applyFill="1" applyBorder="1" applyAlignment="1" applyProtection="1">
      <alignment horizontal="center" vertical="top"/>
      <protection hidden="1"/>
    </xf>
    <xf numFmtId="0" fontId="7" fillId="0" borderId="22" xfId="0" applyFont="1" applyFill="1" applyBorder="1" applyAlignment="1" applyProtection="1">
      <alignment vertical="top"/>
      <protection hidden="1"/>
    </xf>
    <xf numFmtId="2" fontId="7" fillId="0" borderId="22" xfId="0" applyNumberFormat="1" applyFont="1" applyFill="1" applyBorder="1" applyAlignment="1" applyProtection="1">
      <alignment horizontal="center" vertical="top"/>
      <protection hidden="1"/>
    </xf>
    <xf numFmtId="0" fontId="7" fillId="0" borderId="17" xfId="0" applyFont="1" applyFill="1" applyBorder="1" applyAlignment="1" applyProtection="1">
      <alignment vertical="top"/>
      <protection hidden="1"/>
    </xf>
    <xf numFmtId="10" fontId="7" fillId="0" borderId="0" xfId="3" applyNumberFormat="1" applyFont="1" applyFill="1" applyBorder="1" applyAlignment="1" applyProtection="1">
      <alignment horizontal="center" vertical="top"/>
      <protection hidden="1"/>
    </xf>
    <xf numFmtId="0" fontId="7" fillId="0" borderId="0" xfId="0" applyFont="1" applyFill="1" applyBorder="1" applyAlignment="1" applyProtection="1">
      <alignment horizontal="left" vertical="top" wrapText="1"/>
      <protection hidden="1"/>
    </xf>
    <xf numFmtId="2" fontId="7" fillId="0" borderId="0" xfId="0" applyNumberFormat="1" applyFont="1" applyFill="1" applyBorder="1" applyAlignment="1" applyProtection="1">
      <alignment horizontal="right" vertical="top" wrapText="1"/>
      <protection hidden="1"/>
    </xf>
    <xf numFmtId="0" fontId="14" fillId="0" borderId="23" xfId="0" applyFont="1" applyFill="1" applyBorder="1" applyAlignment="1" applyProtection="1">
      <alignment horizontal="left" vertical="top"/>
      <protection hidden="1"/>
    </xf>
    <xf numFmtId="0" fontId="14" fillId="0" borderId="0" xfId="0" applyFont="1" applyFill="1" applyBorder="1" applyAlignment="1" applyProtection="1">
      <alignment horizontal="center" vertical="top"/>
      <protection hidden="1"/>
    </xf>
    <xf numFmtId="0" fontId="14" fillId="0" borderId="0" xfId="0" applyFont="1" applyFill="1" applyBorder="1" applyAlignment="1" applyProtection="1">
      <alignment vertical="top"/>
      <protection hidden="1"/>
    </xf>
    <xf numFmtId="2" fontId="7" fillId="0" borderId="0" xfId="0" applyNumberFormat="1" applyFont="1" applyFill="1" applyBorder="1" applyAlignment="1" applyProtection="1">
      <alignment horizontal="center" vertical="top"/>
      <protection hidden="1"/>
    </xf>
    <xf numFmtId="0" fontId="7" fillId="0" borderId="24" xfId="0" applyFont="1" applyFill="1" applyBorder="1" applyAlignment="1" applyProtection="1">
      <alignment vertical="top"/>
      <protection hidden="1"/>
    </xf>
    <xf numFmtId="0" fontId="7" fillId="0" borderId="0" xfId="3" applyNumberFormat="1" applyFont="1" applyFill="1" applyBorder="1" applyAlignment="1" applyProtection="1">
      <alignment horizontal="center" vertical="top"/>
      <protection hidden="1"/>
    </xf>
    <xf numFmtId="0" fontId="7" fillId="0" borderId="25" xfId="0" applyFont="1" applyFill="1" applyBorder="1" applyAlignment="1" applyProtection="1">
      <alignment horizontal="center" vertical="top"/>
      <protection hidden="1"/>
    </xf>
    <xf numFmtId="0" fontId="7" fillId="0" borderId="26" xfId="0" applyFont="1" applyFill="1" applyBorder="1" applyAlignment="1" applyProtection="1">
      <alignment horizontal="center" vertical="top"/>
      <protection hidden="1"/>
    </xf>
    <xf numFmtId="0" fontId="7" fillId="0" borderId="26" xfId="0" applyFont="1" applyFill="1" applyBorder="1" applyAlignment="1" applyProtection="1">
      <alignment vertical="top"/>
      <protection hidden="1"/>
    </xf>
    <xf numFmtId="2" fontId="16" fillId="0" borderId="26" xfId="0" applyNumberFormat="1" applyFont="1" applyFill="1" applyBorder="1" applyAlignment="1" applyProtection="1">
      <alignment horizontal="center" vertical="top"/>
      <protection hidden="1"/>
    </xf>
    <xf numFmtId="0" fontId="7" fillId="0" borderId="19" xfId="0" applyFont="1" applyFill="1" applyBorder="1" applyAlignment="1" applyProtection="1">
      <alignment vertical="top"/>
      <protection hidden="1"/>
    </xf>
    <xf numFmtId="0" fontId="14" fillId="0" borderId="21" xfId="0" applyFont="1" applyFill="1" applyBorder="1" applyAlignment="1" applyProtection="1">
      <alignment horizontal="center" vertical="top"/>
      <protection hidden="1"/>
    </xf>
    <xf numFmtId="0" fontId="14" fillId="0" borderId="22" xfId="0" applyFont="1" applyFill="1" applyBorder="1" applyAlignment="1" applyProtection="1">
      <alignment horizontal="center" vertical="top"/>
      <protection hidden="1"/>
    </xf>
    <xf numFmtId="0" fontId="14" fillId="0" borderId="22" xfId="0" applyFont="1" applyFill="1" applyBorder="1" applyAlignment="1" applyProtection="1">
      <alignment vertical="top"/>
      <protection hidden="1"/>
    </xf>
    <xf numFmtId="2" fontId="14" fillId="0" borderId="27" xfId="0" applyNumberFormat="1" applyFont="1" applyFill="1" applyBorder="1" applyAlignment="1" applyProtection="1">
      <alignment horizontal="center" vertical="top"/>
      <protection hidden="1"/>
    </xf>
    <xf numFmtId="2" fontId="14" fillId="0" borderId="28" xfId="0" applyNumberFormat="1" applyFont="1" applyFill="1" applyBorder="1" applyAlignment="1" applyProtection="1">
      <alignment horizontal="center" vertical="top"/>
      <protection hidden="1"/>
    </xf>
    <xf numFmtId="2" fontId="14" fillId="0" borderId="0" xfId="0" applyNumberFormat="1" applyFont="1" applyFill="1" applyBorder="1" applyAlignment="1" applyProtection="1">
      <alignment horizontal="center" vertical="top"/>
      <protection hidden="1"/>
    </xf>
    <xf numFmtId="0" fontId="7" fillId="0" borderId="0" xfId="0" applyFont="1" applyFill="1" applyBorder="1" applyAlignment="1" applyProtection="1">
      <alignment horizontal="right" vertical="top"/>
      <protection hidden="1"/>
    </xf>
    <xf numFmtId="0" fontId="14" fillId="0" borderId="23" xfId="0" applyFont="1" applyFill="1" applyBorder="1" applyAlignment="1" applyProtection="1">
      <alignment horizontal="center" vertical="top"/>
      <protection hidden="1"/>
    </xf>
    <xf numFmtId="0" fontId="14" fillId="0" borderId="7" xfId="0" applyFont="1" applyFill="1" applyBorder="1" applyAlignment="1" applyProtection="1">
      <alignment horizontal="center" vertical="top"/>
      <protection hidden="1"/>
    </xf>
    <xf numFmtId="0" fontId="14" fillId="0" borderId="7" xfId="0" applyFont="1" applyFill="1" applyBorder="1" applyAlignment="1" applyProtection="1">
      <alignment vertical="top"/>
      <protection hidden="1"/>
    </xf>
    <xf numFmtId="0" fontId="14" fillId="0" borderId="7" xfId="0" applyNumberFormat="1" applyFont="1" applyFill="1" applyBorder="1" applyAlignment="1" applyProtection="1">
      <alignment horizontal="center" vertical="top"/>
      <protection hidden="1"/>
    </xf>
    <xf numFmtId="0" fontId="14" fillId="0" borderId="29" xfId="0" applyNumberFormat="1" applyFont="1" applyFill="1" applyBorder="1" applyAlignment="1" applyProtection="1">
      <alignment horizontal="center" vertical="top"/>
      <protection hidden="1"/>
    </xf>
    <xf numFmtId="0" fontId="7" fillId="0" borderId="30" xfId="0" applyFont="1" applyFill="1" applyBorder="1" applyAlignment="1" applyProtection="1">
      <alignment vertical="top"/>
      <protection hidden="1"/>
    </xf>
    <xf numFmtId="1" fontId="17" fillId="0" borderId="26" xfId="0" applyNumberFormat="1" applyFont="1" applyFill="1" applyBorder="1" applyAlignment="1" applyProtection="1">
      <alignment horizontal="center" vertical="top"/>
      <protection hidden="1"/>
    </xf>
    <xf numFmtId="1" fontId="17" fillId="0" borderId="19" xfId="0" applyNumberFormat="1" applyFont="1" applyFill="1" applyBorder="1" applyAlignment="1" applyProtection="1">
      <alignment horizontal="center" vertical="top"/>
      <protection hidden="1"/>
    </xf>
    <xf numFmtId="0" fontId="7" fillId="0" borderId="23" xfId="0" applyFont="1" applyFill="1" applyBorder="1" applyAlignment="1" applyProtection="1">
      <alignment horizontal="center" vertical="top"/>
      <protection hidden="1"/>
    </xf>
    <xf numFmtId="2" fontId="7" fillId="0" borderId="24" xfId="0" applyNumberFormat="1" applyFont="1" applyFill="1" applyBorder="1" applyAlignment="1" applyProtection="1">
      <alignment horizontal="center" vertical="top"/>
      <protection hidden="1"/>
    </xf>
    <xf numFmtId="2" fontId="14" fillId="0" borderId="24" xfId="0" applyNumberFormat="1" applyFont="1" applyFill="1" applyBorder="1" applyAlignment="1" applyProtection="1">
      <alignment horizontal="center" vertical="top"/>
      <protection hidden="1"/>
    </xf>
    <xf numFmtId="2" fontId="7" fillId="0" borderId="0" xfId="0" applyNumberFormat="1" applyFont="1" applyFill="1" applyBorder="1" applyAlignment="1" applyProtection="1">
      <alignment vertical="top"/>
      <protection hidden="1"/>
    </xf>
    <xf numFmtId="0" fontId="14" fillId="0" borderId="31" xfId="0" applyFont="1" applyFill="1" applyBorder="1" applyAlignment="1" applyProtection="1">
      <alignment horizontal="center" vertical="top"/>
      <protection hidden="1"/>
    </xf>
    <xf numFmtId="0" fontId="7" fillId="0" borderId="7" xfId="0" applyFont="1" applyFill="1" applyBorder="1" applyAlignment="1" applyProtection="1">
      <alignment horizontal="center" vertical="top"/>
      <protection hidden="1"/>
    </xf>
    <xf numFmtId="0" fontId="7" fillId="0" borderId="7" xfId="0" applyFont="1" applyFill="1" applyBorder="1" applyAlignment="1" applyProtection="1">
      <alignment vertical="top"/>
      <protection hidden="1"/>
    </xf>
    <xf numFmtId="2" fontId="7" fillId="0" borderId="7" xfId="0" applyNumberFormat="1" applyFont="1" applyFill="1" applyBorder="1" applyAlignment="1" applyProtection="1">
      <alignment horizontal="center" vertical="top"/>
      <protection hidden="1"/>
    </xf>
    <xf numFmtId="2" fontId="7" fillId="0" borderId="32" xfId="0" applyNumberFormat="1" applyFont="1" applyFill="1" applyBorder="1" applyAlignment="1" applyProtection="1">
      <alignment horizontal="center" vertical="top"/>
      <protection hidden="1"/>
    </xf>
    <xf numFmtId="2" fontId="14" fillId="0" borderId="2" xfId="0" applyNumberFormat="1" applyFont="1" applyFill="1" applyBorder="1" applyAlignment="1" applyProtection="1">
      <alignment horizontal="center" vertical="top"/>
      <protection hidden="1"/>
    </xf>
    <xf numFmtId="2" fontId="14" fillId="0" borderId="33" xfId="0" applyNumberFormat="1" applyFont="1" applyFill="1" applyBorder="1" applyAlignment="1" applyProtection="1">
      <alignment horizontal="center" vertical="top"/>
      <protection hidden="1"/>
    </xf>
    <xf numFmtId="2" fontId="14" fillId="0" borderId="7" xfId="0" applyNumberFormat="1" applyFont="1" applyFill="1" applyBorder="1" applyAlignment="1" applyProtection="1">
      <alignment horizontal="center" vertical="top"/>
      <protection hidden="1"/>
    </xf>
    <xf numFmtId="2" fontId="14" fillId="0" borderId="32" xfId="0" applyNumberFormat="1" applyFont="1" applyFill="1" applyBorder="1" applyAlignment="1" applyProtection="1">
      <alignment horizontal="center" vertical="top"/>
      <protection hidden="1"/>
    </xf>
    <xf numFmtId="0" fontId="14" fillId="0" borderId="0" xfId="0" applyFont="1" applyFill="1" applyAlignment="1" applyProtection="1">
      <alignment vertical="top"/>
      <protection hidden="1"/>
    </xf>
    <xf numFmtId="0" fontId="14" fillId="0" borderId="34" xfId="0" applyFont="1" applyFill="1" applyBorder="1" applyAlignment="1" applyProtection="1">
      <alignment horizontal="center" vertical="top"/>
      <protection hidden="1"/>
    </xf>
    <xf numFmtId="0" fontId="7" fillId="0" borderId="2" xfId="0" applyFont="1" applyFill="1" applyBorder="1" applyAlignment="1" applyProtection="1">
      <alignment horizontal="center" vertical="top"/>
      <protection hidden="1"/>
    </xf>
    <xf numFmtId="0" fontId="7" fillId="0" borderId="2" xfId="0" applyFont="1" applyFill="1" applyBorder="1" applyAlignment="1" applyProtection="1">
      <alignment vertical="top"/>
      <protection hidden="1"/>
    </xf>
    <xf numFmtId="10" fontId="7" fillId="0" borderId="2" xfId="3" applyNumberFormat="1" applyFont="1" applyFill="1" applyBorder="1" applyAlignment="1" applyProtection="1">
      <alignment horizontal="center" vertical="top"/>
      <protection hidden="1"/>
    </xf>
    <xf numFmtId="10" fontId="7" fillId="0" borderId="33" xfId="3" applyNumberFormat="1" applyFont="1" applyFill="1" applyBorder="1" applyAlignment="1" applyProtection="1">
      <alignment horizontal="center" vertical="top"/>
      <protection hidden="1"/>
    </xf>
    <xf numFmtId="2" fontId="7" fillId="0" borderId="0" xfId="3" applyNumberFormat="1" applyFont="1" applyFill="1" applyBorder="1" applyAlignment="1" applyProtection="1">
      <alignment horizontal="center" vertical="top"/>
      <protection hidden="1"/>
    </xf>
    <xf numFmtId="2" fontId="7" fillId="0" borderId="24" xfId="3" applyNumberFormat="1" applyFont="1" applyFill="1" applyBorder="1" applyAlignment="1" applyProtection="1">
      <alignment horizontal="center" vertical="top"/>
      <protection hidden="1"/>
    </xf>
    <xf numFmtId="9" fontId="7" fillId="0" borderId="0" xfId="3" applyFont="1" applyFill="1" applyBorder="1" applyAlignment="1" applyProtection="1">
      <alignment vertical="top"/>
      <protection hidden="1"/>
    </xf>
    <xf numFmtId="0" fontId="14" fillId="0" borderId="7" xfId="0" applyNumberFormat="1" applyFont="1" applyFill="1" applyBorder="1" applyAlignment="1">
      <alignment vertical="top"/>
    </xf>
    <xf numFmtId="2" fontId="7" fillId="0" borderId="2" xfId="0" applyNumberFormat="1" applyFont="1" applyFill="1" applyBorder="1" applyAlignment="1" applyProtection="1">
      <alignment horizontal="center" vertical="top"/>
      <protection hidden="1"/>
    </xf>
    <xf numFmtId="2" fontId="7" fillId="0" borderId="33" xfId="0" applyNumberFormat="1" applyFont="1" applyFill="1" applyBorder="1" applyAlignment="1" applyProtection="1">
      <alignment horizontal="center" vertical="top"/>
      <protection hidden="1"/>
    </xf>
    <xf numFmtId="165" fontId="7" fillId="0" borderId="0" xfId="0" applyNumberFormat="1" applyFont="1" applyFill="1" applyBorder="1" applyAlignment="1" applyProtection="1">
      <alignment vertical="top"/>
      <protection hidden="1"/>
    </xf>
    <xf numFmtId="1" fontId="14" fillId="0" borderId="0" xfId="0" applyNumberFormat="1" applyFont="1" applyFill="1" applyBorder="1" applyAlignment="1" applyProtection="1">
      <alignment horizontal="center" vertical="top"/>
      <protection hidden="1"/>
    </xf>
    <xf numFmtId="43" fontId="7" fillId="0" borderId="0" xfId="2" applyFont="1" applyFill="1" applyBorder="1" applyAlignment="1" applyProtection="1">
      <alignment horizontal="center" vertical="top"/>
      <protection hidden="1"/>
    </xf>
    <xf numFmtId="9" fontId="7" fillId="0" borderId="0" xfId="2" applyNumberFormat="1" applyFont="1" applyFill="1" applyBorder="1" applyAlignment="1" applyProtection="1">
      <alignment horizontal="center" vertical="top"/>
      <protection hidden="1"/>
    </xf>
    <xf numFmtId="0" fontId="7" fillId="0" borderId="0" xfId="0" applyNumberFormat="1" applyFont="1" applyFill="1" applyBorder="1" applyAlignment="1">
      <alignment vertical="top"/>
    </xf>
    <xf numFmtId="0" fontId="18" fillId="0" borderId="0" xfId="0" applyFont="1" applyFill="1" applyBorder="1" applyAlignment="1" applyProtection="1">
      <alignment vertical="top"/>
      <protection hidden="1"/>
    </xf>
    <xf numFmtId="10" fontId="7" fillId="0" borderId="7" xfId="3" applyNumberFormat="1" applyFont="1" applyFill="1" applyBorder="1" applyAlignment="1" applyProtection="1">
      <alignment horizontal="center" vertical="top"/>
      <protection hidden="1"/>
    </xf>
    <xf numFmtId="10" fontId="7" fillId="0" borderId="32" xfId="3" applyNumberFormat="1" applyFont="1" applyFill="1" applyBorder="1" applyAlignment="1" applyProtection="1">
      <alignment horizontal="center" vertical="top"/>
      <protection hidden="1"/>
    </xf>
    <xf numFmtId="0" fontId="14" fillId="0" borderId="35" xfId="0" applyFont="1" applyFill="1" applyBorder="1" applyAlignment="1" applyProtection="1">
      <alignment horizontal="center" vertical="top"/>
      <protection hidden="1"/>
    </xf>
    <xf numFmtId="0" fontId="7" fillId="0" borderId="11" xfId="0" applyFont="1" applyFill="1" applyBorder="1" applyAlignment="1" applyProtection="1">
      <alignment horizontal="center" vertical="top"/>
      <protection hidden="1"/>
    </xf>
    <xf numFmtId="0" fontId="7" fillId="0" borderId="11" xfId="0" applyNumberFormat="1" applyFont="1" applyFill="1" applyBorder="1" applyAlignment="1">
      <alignment vertical="top"/>
    </xf>
    <xf numFmtId="0" fontId="7" fillId="0" borderId="11" xfId="0" applyFont="1" applyFill="1" applyBorder="1" applyAlignment="1" applyProtection="1">
      <alignment vertical="top"/>
      <protection hidden="1"/>
    </xf>
    <xf numFmtId="2" fontId="7" fillId="0" borderId="11" xfId="0" applyNumberFormat="1" applyFont="1" applyFill="1" applyBorder="1" applyAlignment="1" applyProtection="1">
      <alignment horizontal="center" vertical="top"/>
      <protection hidden="1"/>
    </xf>
    <xf numFmtId="2" fontId="7" fillId="0" borderId="29" xfId="0" applyNumberFormat="1" applyFont="1" applyFill="1" applyBorder="1" applyAlignment="1" applyProtection="1">
      <alignment horizontal="center" vertical="top"/>
      <protection hidden="1"/>
    </xf>
    <xf numFmtId="10" fontId="14" fillId="0" borderId="0" xfId="3" applyNumberFormat="1" applyFont="1" applyFill="1" applyBorder="1" applyAlignment="1" applyProtection="1">
      <alignment horizontal="center" vertical="top"/>
      <protection hidden="1"/>
    </xf>
    <xf numFmtId="0" fontId="14" fillId="0" borderId="2" xfId="0" applyNumberFormat="1" applyFont="1" applyFill="1" applyBorder="1" applyAlignment="1">
      <alignment vertical="top"/>
    </xf>
    <xf numFmtId="0" fontId="14" fillId="0" borderId="11" xfId="0" applyNumberFormat="1" applyFont="1" applyFill="1" applyBorder="1" applyAlignment="1">
      <alignment vertical="top"/>
    </xf>
    <xf numFmtId="0" fontId="14" fillId="0" borderId="11" xfId="0" applyFont="1" applyFill="1" applyBorder="1" applyAlignment="1" applyProtection="1">
      <alignment vertical="top"/>
      <protection hidden="1"/>
    </xf>
    <xf numFmtId="2" fontId="14" fillId="0" borderId="11" xfId="0" applyNumberFormat="1" applyFont="1" applyFill="1" applyBorder="1" applyAlignment="1" applyProtection="1">
      <alignment horizontal="center" vertical="top"/>
      <protection hidden="1"/>
    </xf>
    <xf numFmtId="2" fontId="14" fillId="0" borderId="29" xfId="0" applyNumberFormat="1" applyFont="1" applyFill="1" applyBorder="1" applyAlignment="1" applyProtection="1">
      <alignment horizontal="center" vertical="top"/>
      <protection hidden="1"/>
    </xf>
    <xf numFmtId="166" fontId="7" fillId="0" borderId="0" xfId="3" applyNumberFormat="1" applyFont="1" applyFill="1" applyBorder="1" applyAlignment="1" applyProtection="1">
      <alignment horizontal="center" vertical="top"/>
      <protection hidden="1"/>
    </xf>
    <xf numFmtId="2" fontId="14" fillId="0" borderId="0" xfId="0" applyNumberFormat="1" applyFont="1" applyFill="1" applyBorder="1" applyAlignment="1" applyProtection="1">
      <alignment vertical="top"/>
      <protection hidden="1"/>
    </xf>
    <xf numFmtId="10" fontId="7" fillId="0" borderId="0" xfId="3" applyNumberFormat="1" applyFont="1" applyFill="1" applyBorder="1" applyAlignment="1" applyProtection="1">
      <alignment vertical="top"/>
      <protection hidden="1"/>
    </xf>
    <xf numFmtId="167" fontId="7" fillId="0" borderId="0" xfId="2" applyNumberFormat="1" applyFont="1" applyFill="1" applyBorder="1" applyAlignment="1" applyProtection="1">
      <alignment horizontal="center" vertical="top"/>
      <protection hidden="1"/>
    </xf>
    <xf numFmtId="2" fontId="13" fillId="0" borderId="0" xfId="0" applyNumberFormat="1" applyFont="1" applyFill="1" applyBorder="1" applyAlignment="1" applyProtection="1">
      <alignment horizontal="center" vertical="top"/>
      <protection hidden="1"/>
    </xf>
    <xf numFmtId="2" fontId="18" fillId="0" borderId="0" xfId="0" applyNumberFormat="1" applyFont="1" applyFill="1" applyBorder="1" applyAlignment="1" applyProtection="1">
      <alignment horizontal="center" vertical="top"/>
      <protection hidden="1"/>
    </xf>
    <xf numFmtId="0" fontId="19" fillId="0" borderId="0" xfId="0" applyFont="1" applyFill="1" applyAlignment="1" applyProtection="1">
      <alignment horizontal="center" vertical="top"/>
      <protection hidden="1"/>
    </xf>
    <xf numFmtId="0" fontId="7" fillId="0" borderId="35" xfId="0" applyFont="1" applyFill="1" applyBorder="1" applyAlignment="1" applyProtection="1">
      <alignment horizontal="center" vertical="top"/>
      <protection hidden="1"/>
    </xf>
    <xf numFmtId="168" fontId="7" fillId="0" borderId="0" xfId="0" applyNumberFormat="1" applyFont="1" applyFill="1" applyAlignment="1" applyProtection="1">
      <alignment vertical="top"/>
      <protection hidden="1"/>
    </xf>
    <xf numFmtId="9" fontId="7" fillId="0" borderId="0" xfId="3" applyFont="1" applyFill="1" applyBorder="1" applyAlignment="1" applyProtection="1">
      <alignment horizontal="center" vertical="top"/>
      <protection hidden="1"/>
    </xf>
    <xf numFmtId="0" fontId="14" fillId="0" borderId="30" xfId="0" applyFont="1" applyFill="1" applyBorder="1" applyAlignment="1" applyProtection="1">
      <alignment horizontal="center" vertical="top"/>
      <protection hidden="1"/>
    </xf>
    <xf numFmtId="0" fontId="7" fillId="0" borderId="36" xfId="0" applyFont="1" applyFill="1" applyBorder="1" applyAlignment="1" applyProtection="1">
      <alignment horizontal="center" vertical="top"/>
      <protection hidden="1"/>
    </xf>
    <xf numFmtId="0" fontId="7" fillId="0" borderId="36" xfId="0" applyFont="1" applyFill="1" applyBorder="1" applyAlignment="1" applyProtection="1">
      <alignment vertical="top"/>
      <protection hidden="1"/>
    </xf>
    <xf numFmtId="9" fontId="7" fillId="0" borderId="37" xfId="3" applyFont="1" applyFill="1" applyBorder="1" applyAlignment="1" applyProtection="1">
      <alignment horizontal="center" vertical="top"/>
      <protection hidden="1"/>
    </xf>
    <xf numFmtId="1" fontId="7" fillId="0" borderId="0" xfId="0" applyNumberFormat="1" applyFont="1" applyFill="1" applyBorder="1" applyAlignment="1" applyProtection="1">
      <alignment vertical="top"/>
      <protection hidden="1"/>
    </xf>
    <xf numFmtId="0" fontId="7" fillId="0" borderId="0" xfId="0" applyFont="1" applyFill="1" applyAlignment="1" applyProtection="1">
      <alignment horizontal="center" vertical="top"/>
      <protection hidden="1"/>
    </xf>
    <xf numFmtId="2" fontId="7" fillId="0" borderId="0" xfId="2" applyNumberFormat="1" applyFont="1" applyFill="1" applyBorder="1" applyAlignment="1" applyProtection="1">
      <alignment horizontal="center" vertical="top"/>
      <protection hidden="1"/>
    </xf>
    <xf numFmtId="43" fontId="7" fillId="0" borderId="0" xfId="2" applyFont="1" applyFill="1" applyBorder="1" applyAlignment="1" applyProtection="1">
      <alignment vertical="top"/>
      <protection hidden="1"/>
    </xf>
    <xf numFmtId="4" fontId="7" fillId="0" borderId="0" xfId="2" applyNumberFormat="1" applyFont="1" applyFill="1" applyBorder="1" applyAlignment="1" applyProtection="1">
      <alignment horizontal="center" vertical="top"/>
      <protection hidden="1"/>
    </xf>
    <xf numFmtId="0" fontId="7" fillId="0" borderId="0" xfId="0" applyFont="1" applyFill="1" applyAlignment="1">
      <alignment vertical="top"/>
    </xf>
    <xf numFmtId="4" fontId="7" fillId="0" borderId="0" xfId="0" applyNumberFormat="1" applyFont="1" applyFill="1" applyBorder="1" applyAlignment="1" applyProtection="1">
      <alignment vertical="top"/>
      <protection hidden="1"/>
    </xf>
    <xf numFmtId="2" fontId="7" fillId="0" borderId="0" xfId="0" applyNumberFormat="1" applyFont="1" applyFill="1" applyAlignment="1" applyProtection="1">
      <alignment vertical="top"/>
      <protection hidden="1"/>
    </xf>
    <xf numFmtId="0" fontId="7" fillId="0" borderId="21" xfId="0" applyFont="1" applyFill="1" applyBorder="1" applyAlignment="1" applyProtection="1">
      <alignment vertical="top"/>
      <protection hidden="1"/>
    </xf>
    <xf numFmtId="0" fontId="14" fillId="0" borderId="22" xfId="0" applyFont="1" applyFill="1" applyBorder="1" applyAlignment="1" applyProtection="1">
      <alignment horizontal="left" vertical="top"/>
      <protection hidden="1"/>
    </xf>
    <xf numFmtId="0" fontId="7" fillId="0" borderId="22" xfId="0" applyFont="1" applyFill="1" applyBorder="1" applyAlignment="1" applyProtection="1">
      <alignment horizontal="left" vertical="top"/>
      <protection hidden="1"/>
    </xf>
    <xf numFmtId="2" fontId="7" fillId="0" borderId="22" xfId="0" applyNumberFormat="1" applyFont="1" applyFill="1" applyBorder="1" applyAlignment="1" applyProtection="1">
      <alignment vertical="top"/>
      <protection hidden="1"/>
    </xf>
    <xf numFmtId="2" fontId="7" fillId="0" borderId="17" xfId="0" applyNumberFormat="1" applyFont="1" applyFill="1" applyBorder="1" applyAlignment="1" applyProtection="1">
      <alignment vertical="top"/>
      <protection hidden="1"/>
    </xf>
    <xf numFmtId="0" fontId="7" fillId="0" borderId="23" xfId="0" applyFont="1" applyFill="1" applyBorder="1" applyAlignment="1" applyProtection="1">
      <alignment vertical="top"/>
      <protection hidden="1"/>
    </xf>
    <xf numFmtId="0" fontId="14" fillId="0" borderId="0" xfId="0" applyFont="1" applyFill="1" applyBorder="1" applyAlignment="1" applyProtection="1">
      <alignment horizontal="left" vertical="top"/>
      <protection hidden="1"/>
    </xf>
    <xf numFmtId="2" fontId="7" fillId="0" borderId="24" xfId="0" applyNumberFormat="1" applyFont="1" applyFill="1" applyBorder="1" applyAlignment="1" applyProtection="1">
      <alignment vertical="top"/>
      <protection hidden="1"/>
    </xf>
    <xf numFmtId="2" fontId="16" fillId="0" borderId="0" xfId="0" applyNumberFormat="1" applyFont="1" applyFill="1" applyBorder="1" applyAlignment="1" applyProtection="1">
      <alignment vertical="top"/>
      <protection hidden="1"/>
    </xf>
    <xf numFmtId="2" fontId="17" fillId="0" borderId="0" xfId="0" applyNumberFormat="1" applyFont="1" applyFill="1" applyBorder="1" applyAlignment="1" applyProtection="1">
      <alignment horizontal="right" vertical="top"/>
      <protection hidden="1"/>
    </xf>
    <xf numFmtId="2" fontId="17" fillId="0" borderId="24" xfId="0" applyNumberFormat="1" applyFont="1" applyFill="1" applyBorder="1" applyAlignment="1" applyProtection="1">
      <alignment horizontal="right" vertical="top"/>
      <protection hidden="1"/>
    </xf>
    <xf numFmtId="0" fontId="14" fillId="0" borderId="0" xfId="0" applyNumberFormat="1" applyFont="1" applyFill="1" applyBorder="1" applyAlignment="1" applyProtection="1">
      <alignment horizontal="center" vertical="top"/>
      <protection hidden="1"/>
    </xf>
    <xf numFmtId="0" fontId="14" fillId="0" borderId="24" xfId="0" applyNumberFormat="1" applyFont="1" applyFill="1" applyBorder="1" applyAlignment="1" applyProtection="1">
      <alignment horizontal="center" vertical="top"/>
      <protection hidden="1"/>
    </xf>
    <xf numFmtId="2" fontId="7" fillId="0" borderId="17" xfId="0" applyNumberFormat="1" applyFont="1" applyFill="1" applyBorder="1" applyAlignment="1" applyProtection="1">
      <alignment horizontal="center" vertical="top"/>
      <protection hidden="1"/>
    </xf>
    <xf numFmtId="0" fontId="14" fillId="0" borderId="0" xfId="0" applyFont="1" applyFill="1" applyBorder="1" applyAlignment="1" applyProtection="1">
      <alignment horizontal="right" vertical="top"/>
      <protection hidden="1"/>
    </xf>
    <xf numFmtId="0" fontId="7" fillId="0" borderId="35" xfId="0" applyFont="1" applyFill="1" applyBorder="1" applyAlignment="1" applyProtection="1">
      <alignment vertical="top"/>
      <protection hidden="1"/>
    </xf>
    <xf numFmtId="0" fontId="7" fillId="0" borderId="31" xfId="0" applyFont="1" applyFill="1" applyBorder="1" applyAlignment="1" applyProtection="1">
      <alignment vertical="top"/>
      <protection hidden="1"/>
    </xf>
    <xf numFmtId="0" fontId="7" fillId="0" borderId="2" xfId="0" applyNumberFormat="1" applyFont="1" applyFill="1" applyBorder="1" applyAlignment="1">
      <alignment vertical="top"/>
    </xf>
    <xf numFmtId="0" fontId="7" fillId="0" borderId="7" xfId="0" applyNumberFormat="1" applyFont="1" applyFill="1" applyBorder="1" applyAlignment="1">
      <alignment vertical="top"/>
    </xf>
    <xf numFmtId="0" fontId="7" fillId="0" borderId="23" xfId="0" applyNumberFormat="1" applyFont="1" applyFill="1" applyBorder="1" applyAlignment="1">
      <alignment vertical="top"/>
    </xf>
    <xf numFmtId="0" fontId="7" fillId="0" borderId="0" xfId="0" applyNumberFormat="1" applyFont="1" applyFill="1" applyBorder="1" applyAlignment="1">
      <alignment horizontal="center" vertical="top"/>
    </xf>
    <xf numFmtId="0" fontId="7" fillId="0" borderId="31" xfId="0" applyNumberFormat="1" applyFont="1" applyFill="1" applyBorder="1" applyAlignment="1">
      <alignment vertical="top"/>
    </xf>
    <xf numFmtId="0" fontId="7" fillId="0" borderId="7" xfId="0" applyNumberFormat="1" applyFont="1" applyFill="1" applyBorder="1" applyAlignment="1">
      <alignment horizontal="center" vertical="top"/>
    </xf>
    <xf numFmtId="0" fontId="7" fillId="0" borderId="35" xfId="0" applyNumberFormat="1" applyFont="1" applyFill="1" applyBorder="1" applyAlignment="1">
      <alignment vertical="top"/>
    </xf>
    <xf numFmtId="0" fontId="7" fillId="0" borderId="11" xfId="0" applyNumberFormat="1" applyFont="1" applyFill="1" applyBorder="1" applyAlignment="1">
      <alignment horizontal="center" vertical="top"/>
    </xf>
    <xf numFmtId="0" fontId="7" fillId="0" borderId="0" xfId="0" applyFont="1" applyFill="1" applyBorder="1" applyAlignment="1">
      <alignment vertical="top"/>
    </xf>
    <xf numFmtId="2" fontId="7" fillId="0" borderId="0" xfId="0" applyNumberFormat="1" applyFont="1" applyFill="1" applyBorder="1" applyAlignment="1">
      <alignment vertical="top"/>
    </xf>
    <xf numFmtId="164" fontId="7" fillId="0" borderId="0" xfId="0" applyNumberFormat="1" applyFont="1" applyFill="1" applyBorder="1" applyAlignment="1" applyProtection="1">
      <alignment vertical="top"/>
      <protection hidden="1"/>
    </xf>
    <xf numFmtId="2" fontId="7" fillId="0" borderId="0" xfId="0" applyNumberFormat="1" applyFont="1" applyFill="1" applyBorder="1" applyAlignment="1" applyProtection="1">
      <alignment horizontal="right" vertical="top"/>
      <protection hidden="1"/>
    </xf>
    <xf numFmtId="0" fontId="14" fillId="0" borderId="0" xfId="0" applyFont="1" applyFill="1" applyBorder="1" applyAlignment="1">
      <alignment vertical="top"/>
    </xf>
    <xf numFmtId="0" fontId="14" fillId="0" borderId="11" xfId="0" applyFont="1" applyFill="1" applyBorder="1" applyAlignment="1">
      <alignment vertical="top"/>
    </xf>
    <xf numFmtId="169" fontId="7" fillId="0" borderId="0" xfId="4" applyFont="1" applyFill="1" applyBorder="1" applyAlignment="1" applyProtection="1">
      <alignment vertical="top"/>
      <protection hidden="1"/>
    </xf>
    <xf numFmtId="0" fontId="7" fillId="0" borderId="25" xfId="0" applyFont="1" applyFill="1" applyBorder="1" applyAlignment="1" applyProtection="1">
      <alignment vertical="top"/>
      <protection hidden="1"/>
    </xf>
    <xf numFmtId="0" fontId="14" fillId="0" borderId="26" xfId="0" applyFont="1" applyFill="1" applyBorder="1" applyAlignment="1" applyProtection="1">
      <alignment vertical="top"/>
      <protection hidden="1"/>
    </xf>
    <xf numFmtId="2" fontId="14" fillId="0" borderId="26" xfId="0" applyNumberFormat="1" applyFont="1" applyFill="1" applyBorder="1" applyAlignment="1" applyProtection="1">
      <alignment horizontal="center" vertical="top"/>
      <protection hidden="1"/>
    </xf>
    <xf numFmtId="2" fontId="14" fillId="0" borderId="19" xfId="0" applyNumberFormat="1" applyFont="1" applyFill="1" applyBorder="1" applyAlignment="1" applyProtection="1">
      <alignment horizontal="center" vertical="top"/>
      <protection hidden="1"/>
    </xf>
    <xf numFmtId="170" fontId="7" fillId="0" borderId="0" xfId="0" applyNumberFormat="1" applyFont="1" applyFill="1" applyBorder="1" applyAlignment="1" applyProtection="1">
      <alignment horizontal="center" vertical="top"/>
      <protection hidden="1"/>
    </xf>
    <xf numFmtId="2" fontId="7" fillId="0" borderId="7" xfId="5" applyNumberFormat="1" applyFont="1" applyFill="1" applyBorder="1" applyAlignment="1" applyProtection="1">
      <alignment horizontal="center" vertical="top"/>
      <protection hidden="1"/>
    </xf>
    <xf numFmtId="10" fontId="7" fillId="0" borderId="7" xfId="5" applyNumberFormat="1" applyFont="1" applyFill="1" applyBorder="1" applyAlignment="1" applyProtection="1">
      <alignment horizontal="center" vertical="top"/>
      <protection hidden="1"/>
    </xf>
    <xf numFmtId="10" fontId="7" fillId="0" borderId="32" xfId="5" applyNumberFormat="1" applyFont="1" applyFill="1" applyBorder="1" applyAlignment="1" applyProtection="1">
      <alignment horizontal="center" vertical="top"/>
      <protection hidden="1"/>
    </xf>
    <xf numFmtId="10" fontId="7" fillId="0" borderId="0" xfId="5" applyNumberFormat="1" applyFont="1" applyFill="1" applyBorder="1" applyAlignment="1" applyProtection="1">
      <alignment vertical="top"/>
      <protection hidden="1"/>
    </xf>
    <xf numFmtId="9" fontId="14" fillId="0" borderId="0" xfId="0" applyNumberFormat="1" applyFont="1" applyFill="1" applyBorder="1" applyAlignment="1" applyProtection="1">
      <alignment horizontal="center" vertical="top"/>
      <protection hidden="1"/>
    </xf>
    <xf numFmtId="0" fontId="7" fillId="0" borderId="34" xfId="0" applyFont="1" applyFill="1" applyBorder="1" applyAlignment="1" applyProtection="1">
      <alignment vertical="top"/>
      <protection hidden="1"/>
    </xf>
    <xf numFmtId="9" fontId="7" fillId="0" borderId="0" xfId="0" applyNumberFormat="1" applyFont="1" applyFill="1" applyBorder="1" applyAlignment="1" applyProtection="1">
      <alignment horizontal="center" vertical="top"/>
      <protection hidden="1"/>
    </xf>
    <xf numFmtId="9" fontId="7" fillId="0" borderId="0" xfId="0" applyNumberFormat="1" applyFont="1" applyFill="1" applyBorder="1" applyAlignment="1" applyProtection="1">
      <alignment vertical="top"/>
      <protection hidden="1"/>
    </xf>
    <xf numFmtId="0" fontId="7" fillId="0" borderId="2" xfId="0" applyFont="1" applyFill="1" applyBorder="1" applyAlignment="1">
      <alignment vertical="top"/>
    </xf>
    <xf numFmtId="2" fontId="7" fillId="0" borderId="2" xfId="0" applyNumberFormat="1" applyFont="1" applyFill="1" applyBorder="1" applyAlignment="1" applyProtection="1">
      <alignment vertical="top"/>
      <protection hidden="1"/>
    </xf>
    <xf numFmtId="170" fontId="7" fillId="0" borderId="0" xfId="0" applyNumberFormat="1" applyFont="1" applyFill="1" applyBorder="1" applyAlignment="1" applyProtection="1">
      <alignment vertical="top"/>
      <protection hidden="1"/>
    </xf>
    <xf numFmtId="1" fontId="7" fillId="0" borderId="0" xfId="0" applyNumberFormat="1" applyFont="1" applyFill="1" applyBorder="1" applyAlignment="1" applyProtection="1">
      <alignment horizontal="center" vertical="top"/>
      <protection hidden="1"/>
    </xf>
    <xf numFmtId="1" fontId="7" fillId="0" borderId="24" xfId="0" applyNumberFormat="1" applyFont="1" applyFill="1" applyBorder="1" applyAlignment="1" applyProtection="1">
      <alignment horizontal="center" vertical="top"/>
      <protection hidden="1"/>
    </xf>
    <xf numFmtId="0" fontId="7" fillId="0" borderId="7" xfId="0" applyFont="1" applyFill="1" applyBorder="1" applyAlignment="1">
      <alignment vertical="top"/>
    </xf>
    <xf numFmtId="0" fontId="19" fillId="0" borderId="0" xfId="0" applyFont="1" applyFill="1" applyBorder="1" applyAlignment="1">
      <alignment vertical="top"/>
    </xf>
    <xf numFmtId="0" fontId="14" fillId="0" borderId="2" xfId="0" applyFont="1" applyFill="1" applyBorder="1" applyAlignment="1" applyProtection="1">
      <alignment vertical="top"/>
      <protection hidden="1"/>
    </xf>
    <xf numFmtId="2" fontId="14" fillId="0" borderId="0" xfId="0" applyNumberFormat="1" applyFont="1" applyFill="1" applyBorder="1" applyAlignment="1" applyProtection="1">
      <alignment horizontal="right" vertical="top"/>
      <protection hidden="1"/>
    </xf>
    <xf numFmtId="2" fontId="7" fillId="0" borderId="0" xfId="0" quotePrefix="1" applyNumberFormat="1" applyFont="1" applyFill="1" applyBorder="1" applyAlignment="1" applyProtection="1">
      <alignment vertical="top"/>
      <protection hidden="1"/>
    </xf>
    <xf numFmtId="2" fontId="14" fillId="0" borderId="0" xfId="0" quotePrefix="1" applyNumberFormat="1" applyFont="1" applyFill="1" applyBorder="1" applyAlignment="1" applyProtection="1">
      <alignment horizontal="right" vertical="top"/>
      <protection hidden="1"/>
    </xf>
    <xf numFmtId="171" fontId="7" fillId="0" borderId="0" xfId="4" applyNumberFormat="1" applyFont="1" applyFill="1" applyBorder="1" applyAlignment="1" applyProtection="1">
      <alignment vertical="top"/>
      <protection hidden="1"/>
    </xf>
    <xf numFmtId="0" fontId="14" fillId="0" borderId="2" xfId="0" applyFont="1" applyFill="1" applyBorder="1" applyAlignment="1">
      <alignment vertical="top"/>
    </xf>
    <xf numFmtId="0" fontId="14" fillId="0" borderId="7" xfId="0" applyFont="1" applyFill="1" applyBorder="1" applyAlignment="1">
      <alignment vertical="top"/>
    </xf>
    <xf numFmtId="0" fontId="7" fillId="0" borderId="38" xfId="0" applyFont="1" applyFill="1" applyBorder="1" applyAlignment="1" applyProtection="1">
      <alignment vertical="top"/>
      <protection hidden="1"/>
    </xf>
    <xf numFmtId="0" fontId="7" fillId="0" borderId="39" xfId="0" applyFont="1" applyFill="1" applyBorder="1" applyAlignment="1" applyProtection="1">
      <alignment horizontal="center" vertical="top"/>
      <protection hidden="1"/>
    </xf>
    <xf numFmtId="0" fontId="14" fillId="0" borderId="39" xfId="0" applyFont="1" applyFill="1" applyBorder="1" applyAlignment="1" applyProtection="1">
      <alignment vertical="top"/>
      <protection hidden="1"/>
    </xf>
    <xf numFmtId="2" fontId="14" fillId="0" borderId="39" xfId="0" applyNumberFormat="1" applyFont="1" applyFill="1" applyBorder="1" applyAlignment="1" applyProtection="1">
      <alignment horizontal="center" vertical="top"/>
      <protection hidden="1"/>
    </xf>
    <xf numFmtId="2" fontId="14" fillId="0" borderId="40" xfId="0" applyNumberFormat="1" applyFont="1" applyFill="1" applyBorder="1" applyAlignment="1" applyProtection="1">
      <alignment horizontal="center" vertical="top"/>
      <protection hidden="1"/>
    </xf>
    <xf numFmtId="2" fontId="14" fillId="0" borderId="22" xfId="0" applyNumberFormat="1" applyFont="1" applyFill="1" applyBorder="1" applyAlignment="1" applyProtection="1">
      <alignment horizontal="center" vertical="top"/>
      <protection hidden="1"/>
    </xf>
    <xf numFmtId="2" fontId="14" fillId="0" borderId="17" xfId="0" applyNumberFormat="1" applyFont="1" applyFill="1" applyBorder="1" applyAlignment="1" applyProtection="1">
      <alignment horizontal="center" vertical="top"/>
      <protection hidden="1"/>
    </xf>
    <xf numFmtId="2" fontId="7" fillId="0" borderId="26" xfId="0" applyNumberFormat="1" applyFont="1" applyFill="1" applyBorder="1" applyAlignment="1" applyProtection="1">
      <alignment horizontal="center" vertical="top"/>
      <protection hidden="1"/>
    </xf>
    <xf numFmtId="2" fontId="7" fillId="0" borderId="19" xfId="0" applyNumberFormat="1" applyFont="1" applyFill="1" applyBorder="1" applyAlignment="1" applyProtection="1">
      <alignment horizontal="center" vertical="top"/>
      <protection hidden="1"/>
    </xf>
    <xf numFmtId="169" fontId="7" fillId="0" borderId="0" xfId="4" applyNumberFormat="1" applyFont="1" applyFill="1" applyAlignment="1" applyProtection="1">
      <alignment vertical="top"/>
      <protection hidden="1"/>
    </xf>
    <xf numFmtId="169" fontId="13" fillId="0" borderId="0" xfId="4" applyNumberFormat="1" applyFont="1" applyFill="1" applyAlignment="1" applyProtection="1">
      <alignment vertical="top"/>
      <protection hidden="1"/>
    </xf>
    <xf numFmtId="174" fontId="0" fillId="0" borderId="0" xfId="1" applyNumberFormat="1" applyFont="1"/>
    <xf numFmtId="0" fontId="2" fillId="0" borderId="0" xfId="0" applyFont="1"/>
    <xf numFmtId="4" fontId="0" fillId="0" borderId="0" xfId="0" applyNumberFormat="1"/>
    <xf numFmtId="0" fontId="2" fillId="0" borderId="9" xfId="0" applyFont="1" applyBorder="1"/>
    <xf numFmtId="0" fontId="0" fillId="0" borderId="9" xfId="0" applyBorder="1"/>
    <xf numFmtId="4" fontId="0" fillId="0" borderId="9" xfId="0" applyNumberFormat="1" applyBorder="1"/>
    <xf numFmtId="9" fontId="0" fillId="0" borderId="0" xfId="0" applyNumberFormat="1"/>
    <xf numFmtId="0" fontId="0" fillId="0" borderId="0" xfId="0" applyAlignment="1">
      <alignment horizontal="center"/>
    </xf>
    <xf numFmtId="15" fontId="2" fillId="0" borderId="9" xfId="0" applyNumberFormat="1" applyFont="1" applyBorder="1" applyAlignment="1">
      <alignment horizontal="center"/>
    </xf>
    <xf numFmtId="9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9" fontId="2" fillId="0" borderId="9" xfId="0" applyNumberFormat="1" applyFon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2" fillId="0" borderId="9" xfId="0" applyFont="1" applyFill="1" applyBorder="1"/>
    <xf numFmtId="4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2" fontId="0" fillId="0" borderId="9" xfId="0" applyNumberFormat="1" applyBorder="1" applyAlignment="1">
      <alignment horizontal="center"/>
    </xf>
    <xf numFmtId="175" fontId="0" fillId="0" borderId="9" xfId="0" applyNumberFormat="1" applyBorder="1" applyAlignment="1">
      <alignment horizontal="center"/>
    </xf>
    <xf numFmtId="0" fontId="2" fillId="0" borderId="48" xfId="0" applyFont="1" applyBorder="1" applyAlignment="1">
      <alignment horizontal="centerContinuous"/>
    </xf>
    <xf numFmtId="0" fontId="2" fillId="0" borderId="49" xfId="0" applyFont="1" applyBorder="1" applyAlignment="1">
      <alignment horizontal="centerContinuous"/>
    </xf>
    <xf numFmtId="0" fontId="2" fillId="0" borderId="50" xfId="0" applyFont="1" applyBorder="1" applyAlignment="1">
      <alignment horizontal="centerContinuous"/>
    </xf>
    <xf numFmtId="0" fontId="2" fillId="0" borderId="51" xfId="0" applyFont="1" applyBorder="1" applyAlignment="1">
      <alignment horizontal="centerContinuous"/>
    </xf>
    <xf numFmtId="0" fontId="2" fillId="0" borderId="52" xfId="0" applyFont="1" applyBorder="1" applyAlignment="1">
      <alignment horizontal="centerContinuous"/>
    </xf>
    <xf numFmtId="0" fontId="2" fillId="0" borderId="53" xfId="0" applyFont="1" applyBorder="1" applyAlignment="1">
      <alignment horizontal="centerContinuous"/>
    </xf>
    <xf numFmtId="0" fontId="2" fillId="0" borderId="48" xfId="0" applyFont="1" applyBorder="1"/>
    <xf numFmtId="0" fontId="2" fillId="0" borderId="49" xfId="0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0" fontId="0" fillId="0" borderId="41" xfId="0" applyBorder="1"/>
    <xf numFmtId="4" fontId="0" fillId="0" borderId="54" xfId="0" applyNumberFormat="1" applyBorder="1" applyAlignment="1">
      <alignment horizontal="center"/>
    </xf>
    <xf numFmtId="0" fontId="2" fillId="0" borderId="51" xfId="0" applyFont="1" applyBorder="1"/>
    <xf numFmtId="4" fontId="2" fillId="0" borderId="52" xfId="0" applyNumberFormat="1" applyFont="1" applyBorder="1" applyAlignment="1">
      <alignment horizontal="center"/>
    </xf>
    <xf numFmtId="4" fontId="2" fillId="0" borderId="53" xfId="0" applyNumberFormat="1" applyFont="1" applyBorder="1" applyAlignment="1">
      <alignment horizontal="center"/>
    </xf>
    <xf numFmtId="0" fontId="2" fillId="0" borderId="48" xfId="0" applyFont="1" applyBorder="1" applyAlignment="1">
      <alignment horizontal="left"/>
    </xf>
    <xf numFmtId="0" fontId="0" fillId="0" borderId="41" xfId="0" applyBorder="1" applyAlignment="1">
      <alignment horizontal="left"/>
    </xf>
    <xf numFmtId="0" fontId="2" fillId="0" borderId="51" xfId="0" applyFont="1" applyBorder="1" applyAlignment="1">
      <alignment horizontal="left"/>
    </xf>
    <xf numFmtId="0" fontId="2" fillId="0" borderId="52" xfId="0" applyFont="1" applyBorder="1" applyAlignment="1">
      <alignment horizontal="center"/>
    </xf>
    <xf numFmtId="9" fontId="0" fillId="0" borderId="9" xfId="0" applyNumberFormat="1" applyBorder="1"/>
    <xf numFmtId="1" fontId="0" fillId="0" borderId="9" xfId="0" applyNumberFormat="1" applyBorder="1"/>
    <xf numFmtId="15" fontId="2" fillId="0" borderId="49" xfId="0" applyNumberFormat="1" applyFont="1" applyBorder="1"/>
    <xf numFmtId="15" fontId="2" fillId="0" borderId="50" xfId="0" applyNumberFormat="1" applyFont="1" applyBorder="1"/>
    <xf numFmtId="0" fontId="0" fillId="0" borderId="54" xfId="0" applyBorder="1"/>
    <xf numFmtId="0" fontId="2" fillId="0" borderId="41" xfId="0" applyFont="1" applyBorder="1"/>
    <xf numFmtId="9" fontId="0" fillId="0" borderId="54" xfId="0" applyNumberFormat="1" applyBorder="1"/>
    <xf numFmtId="1" fontId="0" fillId="0" borderId="54" xfId="0" applyNumberFormat="1" applyBorder="1"/>
    <xf numFmtId="4" fontId="0" fillId="0" borderId="54" xfId="0" applyNumberFormat="1" applyBorder="1"/>
    <xf numFmtId="0" fontId="2" fillId="0" borderId="51" xfId="0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6" fillId="0" borderId="41" xfId="0" applyFont="1" applyBorder="1"/>
    <xf numFmtId="0" fontId="0" fillId="0" borderId="9" xfId="0" applyFont="1" applyBorder="1"/>
    <xf numFmtId="165" fontId="0" fillId="0" borderId="9" xfId="0" applyNumberFormat="1" applyFont="1" applyBorder="1"/>
    <xf numFmtId="165" fontId="0" fillId="0" borderId="9" xfId="0" applyNumberFormat="1" applyBorder="1"/>
    <xf numFmtId="0" fontId="0" fillId="0" borderId="9" xfId="0" applyFill="1" applyBorder="1" applyAlignment="1">
      <alignment horizontal="center"/>
    </xf>
    <xf numFmtId="0" fontId="0" fillId="0" borderId="41" xfId="0" applyFont="1" applyBorder="1"/>
    <xf numFmtId="165" fontId="0" fillId="0" borderId="54" xfId="0" applyNumberFormat="1" applyBorder="1"/>
    <xf numFmtId="0" fontId="2" fillId="0" borderId="52" xfId="0" applyFont="1" applyFill="1" applyBorder="1" applyAlignment="1">
      <alignment horizontal="center"/>
    </xf>
    <xf numFmtId="4" fontId="2" fillId="0" borderId="52" xfId="0" applyNumberFormat="1" applyFont="1" applyBorder="1"/>
    <xf numFmtId="4" fontId="2" fillId="0" borderId="53" xfId="0" applyNumberFormat="1" applyFont="1" applyBorder="1"/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0" fontId="2" fillId="0" borderId="41" xfId="0" applyFont="1" applyFill="1" applyBorder="1"/>
    <xf numFmtId="0" fontId="2" fillId="0" borderId="54" xfId="0" applyFont="1" applyBorder="1"/>
    <xf numFmtId="0" fontId="2" fillId="0" borderId="52" xfId="0" applyFont="1" applyBorder="1"/>
    <xf numFmtId="3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2" fillId="0" borderId="55" xfId="0" applyFont="1" applyBorder="1"/>
    <xf numFmtId="0" fontId="2" fillId="0" borderId="55" xfId="0" applyFont="1" applyBorder="1" applyAlignment="1">
      <alignment horizontal="center"/>
    </xf>
    <xf numFmtId="4" fontId="2" fillId="0" borderId="55" xfId="0" applyNumberFormat="1" applyFont="1" applyBorder="1" applyAlignment="1">
      <alignment horizontal="center"/>
    </xf>
    <xf numFmtId="0" fontId="6" fillId="0" borderId="9" xfId="0" applyFont="1" applyBorder="1"/>
    <xf numFmtId="0" fontId="0" fillId="0" borderId="9" xfId="0" applyFont="1" applyBorder="1" applyAlignment="1">
      <alignment horizontal="center"/>
    </xf>
    <xf numFmtId="9" fontId="0" fillId="0" borderId="9" xfId="1" applyFont="1" applyBorder="1"/>
    <xf numFmtId="10" fontId="0" fillId="0" borderId="9" xfId="0" applyNumberFormat="1" applyBorder="1" applyAlignment="1">
      <alignment horizontal="center"/>
    </xf>
    <xf numFmtId="4" fontId="2" fillId="0" borderId="0" xfId="0" applyNumberFormat="1" applyFont="1"/>
    <xf numFmtId="4" fontId="2" fillId="0" borderId="55" xfId="0" applyNumberFormat="1" applyFont="1" applyBorder="1"/>
    <xf numFmtId="15" fontId="2" fillId="0" borderId="49" xfId="0" applyNumberFormat="1" applyFont="1" applyBorder="1" applyAlignment="1">
      <alignment horizontal="center"/>
    </xf>
    <xf numFmtId="15" fontId="2" fillId="0" borderId="50" xfId="0" applyNumberFormat="1" applyFont="1" applyBorder="1" applyAlignment="1">
      <alignment horizontal="center"/>
    </xf>
    <xf numFmtId="0" fontId="2" fillId="0" borderId="23" xfId="0" applyFont="1" applyBorder="1"/>
    <xf numFmtId="0" fontId="0" fillId="0" borderId="0" xfId="0" applyBorder="1"/>
    <xf numFmtId="0" fontId="0" fillId="0" borderId="24" xfId="0" applyBorder="1"/>
    <xf numFmtId="0" fontId="0" fillId="0" borderId="23" xfId="0" applyBorder="1"/>
    <xf numFmtId="4" fontId="0" fillId="0" borderId="0" xfId="0" applyNumberFormat="1" applyBorder="1"/>
    <xf numFmtId="4" fontId="0" fillId="0" borderId="24" xfId="0" applyNumberFormat="1" applyBorder="1"/>
    <xf numFmtId="0" fontId="2" fillId="0" borderId="56" xfId="0" applyFont="1" applyBorder="1"/>
    <xf numFmtId="4" fontId="2" fillId="0" borderId="57" xfId="0" applyNumberFormat="1" applyFont="1" applyBorder="1"/>
    <xf numFmtId="174" fontId="0" fillId="0" borderId="0" xfId="0" applyNumberFormat="1" applyBorder="1"/>
    <xf numFmtId="174" fontId="0" fillId="0" borderId="24" xfId="0" applyNumberFormat="1" applyBorder="1"/>
    <xf numFmtId="0" fontId="2" fillId="0" borderId="25" xfId="0" applyFont="1" applyBorder="1"/>
    <xf numFmtId="4" fontId="2" fillId="0" borderId="26" xfId="0" applyNumberFormat="1" applyFont="1" applyBorder="1"/>
    <xf numFmtId="4" fontId="2" fillId="0" borderId="19" xfId="0" applyNumberFormat="1" applyFont="1" applyBorder="1"/>
    <xf numFmtId="0" fontId="0" fillId="0" borderId="49" xfId="0" applyBorder="1" applyAlignment="1">
      <alignment horizontal="centerContinuous"/>
    </xf>
    <xf numFmtId="0" fontId="0" fillId="0" borderId="50" xfId="0" applyBorder="1" applyAlignment="1">
      <alignment horizontal="centerContinuous"/>
    </xf>
    <xf numFmtId="0" fontId="0" fillId="0" borderId="52" xfId="0" applyBorder="1" applyAlignment="1">
      <alignment horizontal="centerContinuous"/>
    </xf>
    <xf numFmtId="0" fontId="0" fillId="0" borderId="53" xfId="0" applyBorder="1" applyAlignment="1">
      <alignment horizontal="centerContinuous"/>
    </xf>
    <xf numFmtId="15" fontId="2" fillId="0" borderId="0" xfId="0" applyNumberFormat="1" applyFont="1" applyBorder="1" applyAlignment="1">
      <alignment horizontal="center"/>
    </xf>
    <xf numFmtId="4" fontId="2" fillId="0" borderId="0" xfId="0" applyNumberFormat="1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4" fontId="2" fillId="0" borderId="58" xfId="0" applyNumberFormat="1" applyFont="1" applyBorder="1" applyAlignment="1">
      <alignment horizontal="center"/>
    </xf>
    <xf numFmtId="0" fontId="2" fillId="0" borderId="24" xfId="0" applyNumberFormat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0" fontId="20" fillId="0" borderId="23" xfId="0" applyFont="1" applyBorder="1"/>
    <xf numFmtId="176" fontId="20" fillId="0" borderId="0" xfId="0" applyNumberFormat="1" applyFont="1" applyBorder="1" applyAlignment="1">
      <alignment horizontal="center"/>
    </xf>
    <xf numFmtId="176" fontId="20" fillId="0" borderId="24" xfId="0" applyNumberFormat="1" applyFont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176" fontId="0" fillId="0" borderId="2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/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59" xfId="0" applyFont="1" applyBorder="1" applyAlignment="1">
      <alignment horizontal="centerContinuous"/>
    </xf>
    <xf numFmtId="0" fontId="2" fillId="0" borderId="60" xfId="0" applyFont="1" applyBorder="1" applyAlignment="1">
      <alignment horizontal="centerContinuous"/>
    </xf>
    <xf numFmtId="0" fontId="0" fillId="0" borderId="26" xfId="0" applyBorder="1"/>
    <xf numFmtId="10" fontId="0" fillId="0" borderId="0" xfId="1" applyNumberFormat="1" applyFont="1"/>
    <xf numFmtId="2" fontId="0" fillId="0" borderId="0" xfId="0" applyNumberFormat="1" applyBorder="1" applyAlignment="1">
      <alignment horizontal="center"/>
    </xf>
    <xf numFmtId="2" fontId="0" fillId="0" borderId="0" xfId="0" applyNumberFormat="1"/>
    <xf numFmtId="0" fontId="2" fillId="0" borderId="61" xfId="0" applyFont="1" applyBorder="1"/>
    <xf numFmtId="4" fontId="2" fillId="0" borderId="62" xfId="0" applyNumberFormat="1" applyFont="1" applyBorder="1" applyAlignment="1">
      <alignment horizontal="center"/>
    </xf>
    <xf numFmtId="0" fontId="6" fillId="0" borderId="23" xfId="0" applyFont="1" applyBorder="1"/>
    <xf numFmtId="9" fontId="0" fillId="0" borderId="0" xfId="0" applyNumberFormat="1" applyBorder="1" applyAlignment="1">
      <alignment horizontal="center"/>
    </xf>
    <xf numFmtId="4" fontId="2" fillId="0" borderId="57" xfId="0" applyNumberFormat="1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" fillId="0" borderId="58" xfId="0" applyFont="1" applyBorder="1" applyAlignment="1">
      <alignment horizontal="center"/>
    </xf>
    <xf numFmtId="4" fontId="2" fillId="0" borderId="24" xfId="0" applyNumberFormat="1" applyFont="1" applyBorder="1" applyAlignment="1">
      <alignment horizontal="center"/>
    </xf>
    <xf numFmtId="10" fontId="2" fillId="0" borderId="26" xfId="0" applyNumberFormat="1" applyFont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2" fillId="0" borderId="19" xfId="0" applyNumberFormat="1" applyFont="1" applyBorder="1" applyAlignment="1">
      <alignment horizontal="center"/>
    </xf>
    <xf numFmtId="0" fontId="2" fillId="0" borderId="63" xfId="0" applyFont="1" applyBorder="1"/>
    <xf numFmtId="0" fontId="2" fillId="0" borderId="15" xfId="0" applyFont="1" applyBorder="1" applyAlignment="1">
      <alignment horizontal="center"/>
    </xf>
    <xf numFmtId="0" fontId="2" fillId="0" borderId="15" xfId="0" applyNumberFormat="1" applyFont="1" applyBorder="1"/>
    <xf numFmtId="0" fontId="0" fillId="0" borderId="54" xfId="0" applyBorder="1" applyAlignment="1">
      <alignment horizontal="center"/>
    </xf>
    <xf numFmtId="0" fontId="2" fillId="0" borderId="23" xfId="0" applyFont="1" applyBorder="1" applyAlignment="1">
      <alignment horizontal="center"/>
    </xf>
    <xf numFmtId="177" fontId="2" fillId="0" borderId="49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Continuous"/>
    </xf>
    <xf numFmtId="0" fontId="0" fillId="0" borderId="0" xfId="0" applyBorder="1" applyAlignment="1">
      <alignment horizontal="centerContinuous"/>
    </xf>
    <xf numFmtId="10" fontId="2" fillId="0" borderId="0" xfId="0" applyNumberFormat="1" applyFont="1"/>
    <xf numFmtId="0" fontId="2" fillId="0" borderId="0" xfId="0" applyFont="1" applyFill="1" applyBorder="1"/>
    <xf numFmtId="10" fontId="7" fillId="0" borderId="36" xfId="3" applyNumberFormat="1" applyFont="1" applyFill="1" applyBorder="1" applyAlignment="1" applyProtection="1">
      <alignment horizontal="center" vertical="top"/>
      <protection hidden="1"/>
    </xf>
    <xf numFmtId="10" fontId="7" fillId="0" borderId="0" xfId="0" applyNumberFormat="1" applyFont="1" applyFill="1" applyBorder="1" applyAlignment="1" applyProtection="1">
      <alignment vertical="top"/>
      <protection hidden="1"/>
    </xf>
    <xf numFmtId="0" fontId="19" fillId="0" borderId="0" xfId="0" applyFont="1" applyFill="1" applyBorder="1" applyAlignment="1" applyProtection="1">
      <alignment vertical="top"/>
      <protection hidden="1"/>
    </xf>
    <xf numFmtId="0" fontId="4" fillId="0" borderId="0" xfId="6" applyFont="1" applyFill="1" applyAlignment="1" applyProtection="1">
      <alignment horizontal="center"/>
      <protection hidden="1"/>
    </xf>
    <xf numFmtId="0" fontId="4" fillId="0" borderId="0" xfId="6" applyFont="1" applyFill="1" applyProtection="1">
      <protection hidden="1"/>
    </xf>
    <xf numFmtId="0" fontId="4" fillId="0" borderId="0" xfId="6" applyFont="1" applyFill="1" applyBorder="1" applyAlignment="1" applyProtection="1">
      <alignment horizontal="center"/>
      <protection hidden="1"/>
    </xf>
    <xf numFmtId="2" fontId="21" fillId="0" borderId="0" xfId="6" applyNumberFormat="1" applyFont="1" applyFill="1" applyAlignment="1" applyProtection="1">
      <alignment horizontal="center"/>
      <protection hidden="1"/>
    </xf>
    <xf numFmtId="0" fontId="4" fillId="0" borderId="21" xfId="6" applyFont="1" applyFill="1" applyBorder="1" applyAlignment="1" applyProtection="1">
      <alignment horizontal="center"/>
      <protection hidden="1"/>
    </xf>
    <xf numFmtId="0" fontId="4" fillId="0" borderId="22" xfId="6" applyFont="1" applyFill="1" applyBorder="1" applyProtection="1">
      <protection hidden="1"/>
    </xf>
    <xf numFmtId="0" fontId="4" fillId="0" borderId="22" xfId="6" applyFont="1" applyFill="1" applyBorder="1" applyAlignment="1" applyProtection="1">
      <alignment horizontal="center"/>
      <protection hidden="1"/>
    </xf>
    <xf numFmtId="0" fontId="4" fillId="0" borderId="17" xfId="6" applyFont="1" applyFill="1" applyBorder="1" applyProtection="1">
      <protection hidden="1"/>
    </xf>
    <xf numFmtId="15" fontId="4" fillId="0" borderId="0" xfId="6" applyNumberFormat="1" applyFont="1" applyFill="1" applyProtection="1">
      <protection hidden="1"/>
    </xf>
    <xf numFmtId="0" fontId="3" fillId="0" borderId="23" xfId="6" applyFont="1" applyFill="1" applyBorder="1" applyAlignment="1" applyProtection="1">
      <alignment horizontal="left"/>
      <protection hidden="1"/>
    </xf>
    <xf numFmtId="0" fontId="4" fillId="0" borderId="0" xfId="6" applyFont="1" applyFill="1" applyBorder="1" applyProtection="1">
      <protection hidden="1"/>
    </xf>
    <xf numFmtId="0" fontId="4" fillId="0" borderId="24" xfId="6" applyFont="1" applyFill="1" applyBorder="1" applyProtection="1">
      <protection hidden="1"/>
    </xf>
    <xf numFmtId="0" fontId="3" fillId="0" borderId="0" xfId="6" applyFont="1" applyFill="1" applyBorder="1" applyProtection="1">
      <protection hidden="1"/>
    </xf>
    <xf numFmtId="0" fontId="4" fillId="0" borderId="0" xfId="6" applyFont="1" applyFill="1" applyBorder="1" applyAlignment="1" applyProtection="1">
      <alignment horizontal="right"/>
      <protection hidden="1"/>
    </xf>
    <xf numFmtId="0" fontId="4" fillId="0" borderId="23" xfId="6" applyFont="1" applyFill="1" applyBorder="1" applyAlignment="1" applyProtection="1">
      <alignment horizontal="center"/>
      <protection hidden="1"/>
    </xf>
    <xf numFmtId="0" fontId="4" fillId="0" borderId="7" xfId="6" applyFont="1" applyFill="1" applyBorder="1" applyAlignment="1" applyProtection="1">
      <alignment horizontal="center"/>
      <protection hidden="1"/>
    </xf>
    <xf numFmtId="0" fontId="4" fillId="0" borderId="7" xfId="6" applyFont="1" applyFill="1" applyBorder="1" applyProtection="1">
      <protection hidden="1"/>
    </xf>
    <xf numFmtId="0" fontId="3" fillId="0" borderId="41" xfId="6" applyFont="1" applyFill="1" applyBorder="1" applyAlignment="1" applyProtection="1">
      <alignment horizontal="center"/>
      <protection hidden="1"/>
    </xf>
    <xf numFmtId="2" fontId="3" fillId="0" borderId="9" xfId="6" applyNumberFormat="1" applyFont="1" applyFill="1" applyBorder="1" applyAlignment="1" applyProtection="1">
      <alignment horizontal="center"/>
      <protection hidden="1"/>
    </xf>
    <xf numFmtId="0" fontId="3" fillId="0" borderId="9" xfId="6" applyNumberFormat="1" applyFont="1" applyFill="1" applyBorder="1" applyAlignment="1" applyProtection="1">
      <alignment horizontal="center"/>
      <protection hidden="1"/>
    </xf>
    <xf numFmtId="0" fontId="3" fillId="0" borderId="42" xfId="6" applyFont="1" applyFill="1" applyBorder="1" applyAlignment="1" applyProtection="1">
      <alignment horizontal="center"/>
      <protection hidden="1"/>
    </xf>
    <xf numFmtId="0" fontId="4" fillId="0" borderId="13" xfId="6" applyFont="1" applyFill="1" applyBorder="1" applyAlignment="1" applyProtection="1">
      <alignment horizontal="center"/>
      <protection hidden="1"/>
    </xf>
    <xf numFmtId="0" fontId="4" fillId="0" borderId="43" xfId="6" applyFont="1" applyFill="1" applyBorder="1" applyAlignment="1" applyProtection="1">
      <alignment horizontal="center"/>
      <protection hidden="1"/>
    </xf>
    <xf numFmtId="0" fontId="4" fillId="0" borderId="14" xfId="6" applyFont="1" applyFill="1" applyBorder="1" applyAlignment="1" applyProtection="1">
      <alignment horizontal="center"/>
      <protection hidden="1"/>
    </xf>
    <xf numFmtId="172" fontId="4" fillId="0" borderId="14" xfId="6" quotePrefix="1" applyNumberFormat="1" applyFont="1" applyFill="1" applyBorder="1" applyAlignment="1" applyProtection="1">
      <alignment horizontal="center"/>
      <protection hidden="1"/>
    </xf>
    <xf numFmtId="172" fontId="4" fillId="0" borderId="14" xfId="6" applyNumberFormat="1" applyFont="1" applyFill="1" applyBorder="1" applyAlignment="1" applyProtection="1">
      <alignment horizontal="center"/>
      <protection hidden="1"/>
    </xf>
    <xf numFmtId="172" fontId="4" fillId="0" borderId="15" xfId="6" applyNumberFormat="1" applyFont="1" applyFill="1" applyBorder="1" applyAlignment="1" applyProtection="1">
      <alignment horizontal="center"/>
      <protection hidden="1"/>
    </xf>
    <xf numFmtId="172" fontId="3" fillId="0" borderId="44" xfId="6" applyNumberFormat="1" applyFont="1" applyFill="1" applyBorder="1" applyAlignment="1" applyProtection="1">
      <alignment horizontal="center"/>
      <protection hidden="1"/>
    </xf>
    <xf numFmtId="0" fontId="3" fillId="0" borderId="43" xfId="6" applyFont="1" applyFill="1" applyBorder="1" applyAlignment="1" applyProtection="1">
      <alignment horizontal="center"/>
      <protection hidden="1"/>
    </xf>
    <xf numFmtId="172" fontId="3" fillId="0" borderId="45" xfId="6" applyNumberFormat="1" applyFont="1" applyFill="1" applyBorder="1" applyAlignment="1" applyProtection="1">
      <alignment horizontal="center"/>
      <protection hidden="1"/>
    </xf>
    <xf numFmtId="172" fontId="3" fillId="0" borderId="14" xfId="6" applyNumberFormat="1" applyFont="1" applyFill="1" applyBorder="1" applyAlignment="1" applyProtection="1">
      <alignment horizontal="center"/>
      <protection hidden="1"/>
    </xf>
    <xf numFmtId="0" fontId="3" fillId="0" borderId="24" xfId="6" applyFont="1" applyFill="1" applyBorder="1" applyProtection="1">
      <protection hidden="1"/>
    </xf>
    <xf numFmtId="0" fontId="3" fillId="0" borderId="0" xfId="6" applyFont="1" applyFill="1" applyProtection="1">
      <protection hidden="1"/>
    </xf>
    <xf numFmtId="0" fontId="4" fillId="0" borderId="46" xfId="6" applyFont="1" applyFill="1" applyBorder="1" applyAlignment="1" applyProtection="1">
      <alignment horizontal="center"/>
      <protection hidden="1"/>
    </xf>
    <xf numFmtId="0" fontId="4" fillId="0" borderId="26" xfId="6" applyFont="1" applyFill="1" applyBorder="1" applyProtection="1">
      <protection hidden="1"/>
    </xf>
    <xf numFmtId="2" fontId="4" fillId="0" borderId="47" xfId="6" applyNumberFormat="1" applyFont="1" applyFill="1" applyBorder="1" applyAlignment="1" applyProtection="1">
      <alignment horizontal="center"/>
      <protection hidden="1"/>
    </xf>
    <xf numFmtId="0" fontId="4" fillId="0" borderId="47" xfId="6" applyFont="1" applyFill="1" applyBorder="1" applyAlignment="1" applyProtection="1">
      <alignment horizontal="center"/>
      <protection hidden="1"/>
    </xf>
    <xf numFmtId="0" fontId="4" fillId="0" borderId="19" xfId="6" applyFont="1" applyFill="1" applyBorder="1" applyProtection="1">
      <protection hidden="1"/>
    </xf>
    <xf numFmtId="2" fontId="4" fillId="0" borderId="0" xfId="6" applyNumberFormat="1" applyFont="1" applyFill="1" applyAlignment="1" applyProtection="1">
      <alignment horizontal="center"/>
      <protection hidden="1"/>
    </xf>
    <xf numFmtId="2" fontId="4" fillId="0" borderId="0" xfId="6" applyNumberFormat="1" applyFont="1" applyFill="1" applyBorder="1" applyAlignment="1" applyProtection="1">
      <alignment horizontal="center"/>
      <protection hidden="1"/>
    </xf>
    <xf numFmtId="4" fontId="4" fillId="0" borderId="0" xfId="6" applyNumberFormat="1" applyFont="1" applyFill="1" applyBorder="1" applyAlignment="1" applyProtection="1">
      <alignment horizontal="center"/>
      <protection hidden="1"/>
    </xf>
    <xf numFmtId="172" fontId="4" fillId="0" borderId="0" xfId="6" applyNumberFormat="1" applyFont="1" applyFill="1" applyBorder="1" applyAlignment="1" applyProtection="1">
      <alignment horizontal="center"/>
      <protection hidden="1"/>
    </xf>
    <xf numFmtId="173" fontId="4" fillId="0" borderId="0" xfId="6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Border="1"/>
    <xf numFmtId="2" fontId="0" fillId="0" borderId="24" xfId="0" applyNumberFormat="1" applyBorder="1"/>
    <xf numFmtId="0" fontId="0" fillId="0" borderId="19" xfId="0" applyBorder="1"/>
    <xf numFmtId="2" fontId="2" fillId="0" borderId="55" xfId="0" applyNumberFormat="1" applyFont="1" applyBorder="1"/>
    <xf numFmtId="2" fontId="2" fillId="0" borderId="57" xfId="0" applyNumberFormat="1" applyFont="1" applyBorder="1"/>
    <xf numFmtId="0" fontId="2" fillId="0" borderId="38" xfId="0" applyFont="1" applyBorder="1"/>
    <xf numFmtId="4" fontId="2" fillId="0" borderId="39" xfId="0" applyNumberFormat="1" applyFont="1" applyBorder="1"/>
    <xf numFmtId="4" fontId="2" fillId="0" borderId="40" xfId="0" applyNumberFormat="1" applyFont="1" applyBorder="1"/>
    <xf numFmtId="9" fontId="2" fillId="0" borderId="39" xfId="0" applyNumberFormat="1" applyFont="1" applyBorder="1"/>
    <xf numFmtId="0" fontId="2" fillId="0" borderId="64" xfId="0" applyFont="1" applyBorder="1"/>
    <xf numFmtId="15" fontId="2" fillId="0" borderId="27" xfId="0" applyNumberFormat="1" applyFont="1" applyBorder="1" applyAlignment="1">
      <alignment horizontal="center"/>
    </xf>
    <xf numFmtId="15" fontId="2" fillId="0" borderId="28" xfId="0" applyNumberFormat="1" applyFont="1" applyBorder="1" applyAlignment="1">
      <alignment horizontal="center"/>
    </xf>
    <xf numFmtId="9" fontId="2" fillId="0" borderId="40" xfId="0" applyNumberFormat="1" applyFont="1" applyBorder="1"/>
    <xf numFmtId="10" fontId="2" fillId="0" borderId="39" xfId="0" applyNumberFormat="1" applyFont="1" applyBorder="1"/>
    <xf numFmtId="0" fontId="8" fillId="0" borderId="10" xfId="0" applyFont="1" applyBorder="1" applyAlignment="1">
      <alignment horizontal="center" vertical="top"/>
    </xf>
    <xf numFmtId="0" fontId="8" fillId="0" borderId="11" xfId="0" applyFont="1" applyBorder="1" applyAlignment="1">
      <alignment horizontal="center" vertical="top"/>
    </xf>
    <xf numFmtId="0" fontId="8" fillId="0" borderId="12" xfId="0" applyFont="1" applyBorder="1" applyAlignment="1">
      <alignment horizontal="center" vertical="top"/>
    </xf>
    <xf numFmtId="0" fontId="8" fillId="0" borderId="13" xfId="0" applyFont="1" applyBorder="1" applyAlignment="1">
      <alignment horizontal="center" vertical="top"/>
    </xf>
    <xf numFmtId="0" fontId="8" fillId="0" borderId="14" xfId="0" applyFont="1" applyBorder="1" applyAlignment="1">
      <alignment horizontal="center" vertical="top"/>
    </xf>
    <xf numFmtId="0" fontId="8" fillId="0" borderId="15" xfId="0" applyFont="1" applyBorder="1" applyAlignment="1">
      <alignment horizontal="center" vertical="top"/>
    </xf>
    <xf numFmtId="0" fontId="8" fillId="0" borderId="9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11" fillId="0" borderId="16" xfId="0" applyFont="1" applyBorder="1" applyAlignment="1">
      <alignment horizontal="left" vertical="center"/>
    </xf>
    <xf numFmtId="0" fontId="11" fillId="0" borderId="18" xfId="0" applyFont="1" applyBorder="1" applyAlignment="1">
      <alignment horizontal="left" vertical="center"/>
    </xf>
    <xf numFmtId="0" fontId="11" fillId="0" borderId="18" xfId="0" applyFont="1" applyBorder="1" applyAlignment="1">
      <alignment horizontal="center" vertical="center"/>
    </xf>
    <xf numFmtId="0" fontId="3" fillId="0" borderId="9" xfId="6" applyFont="1" applyFill="1" applyBorder="1" applyAlignment="1" applyProtection="1">
      <alignment horizontal="center" vertical="center"/>
      <protection hidden="1"/>
    </xf>
  </cellXfs>
  <cellStyles count="7">
    <cellStyle name="Comma" xfId="2" builtinId="3"/>
    <cellStyle name="Comma 2" xfId="4"/>
    <cellStyle name="Normal" xfId="0" builtinId="0"/>
    <cellStyle name="Normal 86" xfId="6"/>
    <cellStyle name="Percent" xfId="1" builtinId="5"/>
    <cellStyle name="Percent 2 2 2" xfId="5"/>
    <cellStyle name="Percent 3" xfId="3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139700</xdr:colOff>
      <xdr:row>33</xdr:row>
      <xdr:rowOff>44450</xdr:rowOff>
    </xdr:from>
    <xdr:to>
      <xdr:col>11</xdr:col>
      <xdr:colOff>514350</xdr:colOff>
      <xdr:row>35</xdr:row>
      <xdr:rowOff>6350</xdr:rowOff>
    </xdr:to>
    <xdr:sp macro="[0]!ID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A7B55746-CF86-4070-8A46-AF06D436E0D8}"/>
            </a:ext>
          </a:extLst>
        </xdr:cNvPr>
        <xdr:cNvSpPr/>
      </xdr:nvSpPr>
      <xdr:spPr>
        <a:xfrm>
          <a:off x="9823450" y="6121400"/>
          <a:ext cx="984250" cy="330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IDC</a:t>
          </a:r>
        </a:p>
      </xdr:txBody>
    </xdr:sp>
    <xdr:clientData/>
  </xdr:twoCellAnchor>
  <xdr:twoCellAnchor>
    <xdr:from>
      <xdr:col>10</xdr:col>
      <xdr:colOff>95250</xdr:colOff>
      <xdr:row>37</xdr:row>
      <xdr:rowOff>50800</xdr:rowOff>
    </xdr:from>
    <xdr:to>
      <xdr:col>11</xdr:col>
      <xdr:colOff>387350</xdr:colOff>
      <xdr:row>39</xdr:row>
      <xdr:rowOff>139700</xdr:rowOff>
    </xdr:to>
    <xdr:sp macro="[0]!UF" textlink="">
      <xdr:nvSpPr>
        <xdr:cNvPr id="3" name="Oval 2">
          <a:extLst>
            <a:ext uri="{FF2B5EF4-FFF2-40B4-BE49-F238E27FC236}">
              <a16:creationId xmlns:a16="http://schemas.microsoft.com/office/drawing/2014/main" xmlns="" id="{EFFF9E36-962C-4D81-AD33-4C578F702D95}"/>
            </a:ext>
          </a:extLst>
        </xdr:cNvPr>
        <xdr:cNvSpPr/>
      </xdr:nvSpPr>
      <xdr:spPr>
        <a:xfrm>
          <a:off x="9779000" y="6864350"/>
          <a:ext cx="901700" cy="457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UF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33</xdr:row>
      <xdr:rowOff>8467</xdr:rowOff>
    </xdr:from>
    <xdr:to>
      <xdr:col>15</xdr:col>
      <xdr:colOff>262467</xdr:colOff>
      <xdr:row>35</xdr:row>
      <xdr:rowOff>177800</xdr:rowOff>
    </xdr:to>
    <xdr:sp macro="[0]!F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380E2802-88BA-48C5-BE1B-90272925A615}"/>
            </a:ext>
          </a:extLst>
        </xdr:cNvPr>
        <xdr:cNvSpPr/>
      </xdr:nvSpPr>
      <xdr:spPr>
        <a:xfrm>
          <a:off x="11294533" y="6223000"/>
          <a:ext cx="1481667" cy="54186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l/Modelling%20&amp;%20Valuation/Project%20Finance_Solv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Queries"/>
      <sheetName val="Site Dev"/>
      <sheetName val="Civil"/>
      <sheetName val="P&amp;M"/>
      <sheetName val="Pre-operative"/>
      <sheetName val="IDC"/>
      <sheetName val="Capacity"/>
      <sheetName val="Prodn &amp; Sales"/>
      <sheetName val="RM"/>
      <sheetName val="Consumables"/>
      <sheetName val="Power &amp; Fuel"/>
      <sheetName val="Manpower"/>
      <sheetName val="Repairs"/>
      <sheetName val="WC"/>
      <sheetName val="TL"/>
      <sheetName val="Dep"/>
      <sheetName val="income tax"/>
      <sheetName val="cost &amp; means"/>
      <sheetName val="PL"/>
      <sheetName val="BS"/>
      <sheetName val="cash flow"/>
      <sheetName val="monthly CF 16-17"/>
      <sheetName val="monthly CF 17-18"/>
      <sheetName val="BEP"/>
      <sheetName val="DSCR"/>
      <sheetName val="CFS"/>
      <sheetName val="FFS"/>
      <sheetName val="IRR"/>
      <sheetName val="Rat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C3">
            <v>2023</v>
          </cell>
          <cell r="D3">
            <v>2024</v>
          </cell>
          <cell r="E3">
            <v>2025</v>
          </cell>
          <cell r="F3">
            <v>2026</v>
          </cell>
          <cell r="G3">
            <v>2027</v>
          </cell>
          <cell r="H3">
            <v>2028</v>
          </cell>
          <cell r="I3">
            <v>2029</v>
          </cell>
          <cell r="J3">
            <v>2030</v>
          </cell>
          <cell r="K3">
            <v>2031</v>
          </cell>
        </row>
        <row r="4">
          <cell r="C4" t="str">
            <v>(Proj.)</v>
          </cell>
          <cell r="D4" t="str">
            <v>(Proj.)</v>
          </cell>
          <cell r="E4" t="str">
            <v>(Proj.)</v>
          </cell>
          <cell r="F4" t="str">
            <v>(Proj.)</v>
          </cell>
          <cell r="G4" t="str">
            <v>(Proj.)</v>
          </cell>
          <cell r="H4" t="str">
            <v>(Proj.)</v>
          </cell>
          <cell r="I4" t="str">
            <v>(Proj.)</v>
          </cell>
          <cell r="J4" t="str">
            <v>(Proj.)</v>
          </cell>
          <cell r="K4" t="str">
            <v>(Proj.)</v>
          </cell>
        </row>
        <row r="5">
          <cell r="C5">
            <v>12</v>
          </cell>
          <cell r="D5">
            <v>12</v>
          </cell>
          <cell r="E5">
            <v>12</v>
          </cell>
          <cell r="F5">
            <v>12</v>
          </cell>
          <cell r="G5">
            <v>12</v>
          </cell>
          <cell r="H5">
            <v>12</v>
          </cell>
          <cell r="I5">
            <v>12</v>
          </cell>
          <cell r="J5">
            <v>12</v>
          </cell>
          <cell r="K5">
            <v>12</v>
          </cell>
        </row>
      </sheetData>
      <sheetData sheetId="9">
        <row r="23">
          <cell r="B23" t="str">
            <v>Crude Palm Oil</v>
          </cell>
        </row>
        <row r="24">
          <cell r="B24" t="str">
            <v>Mustard Seeds</v>
          </cell>
        </row>
        <row r="25">
          <cell r="B25" t="str">
            <v>Crude Oil</v>
          </cell>
        </row>
        <row r="26">
          <cell r="B26" t="str">
            <v>Phosphoric Acid</v>
          </cell>
        </row>
        <row r="27">
          <cell r="B27" t="str">
            <v>Bleaching Powder</v>
          </cell>
        </row>
        <row r="28">
          <cell r="B28" t="str">
            <v>Activated Carbon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F5" t="str">
            <v>(Proj.)</v>
          </cell>
          <cell r="G5" t="str">
            <v>(Proj.)</v>
          </cell>
          <cell r="H5" t="str">
            <v>(Proj.)</v>
          </cell>
          <cell r="I5" t="str">
            <v>(Proj.)</v>
          </cell>
          <cell r="J5" t="str">
            <v>(Proj.)</v>
          </cell>
          <cell r="K5" t="str">
            <v>(Proj.)</v>
          </cell>
          <cell r="L5" t="str">
            <v>(Proj.)</v>
          </cell>
          <cell r="M5" t="str">
            <v>(Proj.)</v>
          </cell>
          <cell r="N5" t="str">
            <v>(Proj.)</v>
          </cell>
        </row>
        <row r="6">
          <cell r="F6">
            <v>2023</v>
          </cell>
        </row>
      </sheetData>
      <sheetData sheetId="20">
        <row r="7">
          <cell r="F7" t="str">
            <v>(Proj.)</v>
          </cell>
          <cell r="G7" t="str">
            <v>(Proj.)</v>
          </cell>
          <cell r="H7" t="str">
            <v>(Proj.)</v>
          </cell>
          <cell r="I7" t="str">
            <v>(Proj.)</v>
          </cell>
          <cell r="J7" t="str">
            <v>(Proj.)</v>
          </cell>
          <cell r="K7" t="str">
            <v>(Proj.)</v>
          </cell>
          <cell r="L7" t="str">
            <v>(Proj.)</v>
          </cell>
          <cell r="M7" t="str">
            <v>(Proj.)</v>
          </cell>
          <cell r="N7" t="str">
            <v>(Proj.)</v>
          </cell>
        </row>
        <row r="8">
          <cell r="F8">
            <v>2023</v>
          </cell>
          <cell r="G8">
            <v>2024</v>
          </cell>
          <cell r="H8">
            <v>2025</v>
          </cell>
          <cell r="I8">
            <v>2026</v>
          </cell>
          <cell r="J8">
            <v>2027</v>
          </cell>
          <cell r="K8">
            <v>2028</v>
          </cell>
          <cell r="L8">
            <v>2029</v>
          </cell>
          <cell r="M8">
            <v>2030</v>
          </cell>
          <cell r="N8">
            <v>2031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79998168889431442"/>
    <pageSetUpPr autoPageBreaks="0"/>
  </sheetPr>
  <dimension ref="B2:G83"/>
  <sheetViews>
    <sheetView showGridLines="0" zoomScale="110" zoomScaleNormal="110" zoomScaleSheetLayoutView="90" workbookViewId="0"/>
  </sheetViews>
  <sheetFormatPr defaultColWidth="8.85546875" defaultRowHeight="15" x14ac:dyDescent="0.25"/>
  <cols>
    <col min="1" max="1" width="4.5703125" style="19" customWidth="1"/>
    <col min="2" max="2" width="56.140625" style="19" bestFit="1" customWidth="1"/>
    <col min="3" max="3" width="8.85546875" style="19"/>
    <col min="4" max="4" width="11.85546875" style="19" customWidth="1"/>
    <col min="5" max="5" width="8.85546875" style="19"/>
    <col min="6" max="6" width="9.42578125" style="19" bestFit="1" customWidth="1"/>
    <col min="7" max="16384" width="8.85546875" style="19"/>
  </cols>
  <sheetData>
    <row r="2" spans="2:6" ht="18.75" x14ac:dyDescent="0.3">
      <c r="B2" s="17" t="s">
        <v>14</v>
      </c>
      <c r="C2" s="18"/>
      <c r="D2" s="18"/>
    </row>
    <row r="3" spans="2:6" x14ac:dyDescent="0.25">
      <c r="B3" s="19" t="s">
        <v>528</v>
      </c>
      <c r="C3" s="19" t="s">
        <v>529</v>
      </c>
    </row>
    <row r="4" spans="2:6" x14ac:dyDescent="0.25">
      <c r="B4" s="20" t="s">
        <v>15</v>
      </c>
      <c r="C4" s="21"/>
      <c r="D4" s="21"/>
    </row>
    <row r="5" spans="2:6" x14ac:dyDescent="0.25">
      <c r="B5" s="19" t="s">
        <v>16</v>
      </c>
      <c r="D5" s="22">
        <v>0.03</v>
      </c>
    </row>
    <row r="6" spans="2:6" x14ac:dyDescent="0.25">
      <c r="B6" s="19" t="s">
        <v>17</v>
      </c>
      <c r="D6" s="22">
        <v>0.03</v>
      </c>
    </row>
    <row r="7" spans="2:6" x14ac:dyDescent="0.25">
      <c r="B7" s="19" t="s">
        <v>19</v>
      </c>
      <c r="D7" s="23">
        <f>0.65/0.35</f>
        <v>1.8571428571428574</v>
      </c>
      <c r="F7" s="24"/>
    </row>
    <row r="8" spans="2:6" x14ac:dyDescent="0.25">
      <c r="B8" s="19" t="s">
        <v>382</v>
      </c>
      <c r="D8" s="246">
        <v>5.0000000000000001E-3</v>
      </c>
      <c r="F8" s="24"/>
    </row>
    <row r="9" spans="2:6" x14ac:dyDescent="0.25">
      <c r="B9" s="19" t="s">
        <v>503</v>
      </c>
      <c r="D9" s="363">
        <v>0.109</v>
      </c>
      <c r="F9" s="24"/>
    </row>
    <row r="10" spans="2:6" x14ac:dyDescent="0.25">
      <c r="B10" s="19" t="s">
        <v>20</v>
      </c>
      <c r="D10" s="25">
        <v>0.12</v>
      </c>
    </row>
    <row r="11" spans="2:6" x14ac:dyDescent="0.25">
      <c r="B11" s="20" t="s">
        <v>21</v>
      </c>
      <c r="C11" s="26"/>
      <c r="D11" s="21"/>
    </row>
    <row r="12" spans="2:6" x14ac:dyDescent="0.25">
      <c r="B12" s="27" t="s">
        <v>22</v>
      </c>
      <c r="C12" s="28"/>
    </row>
    <row r="13" spans="2:6" x14ac:dyDescent="0.25">
      <c r="B13" s="19" t="s">
        <v>23</v>
      </c>
      <c r="C13" s="28" t="s">
        <v>24</v>
      </c>
      <c r="D13" s="29">
        <v>180000</v>
      </c>
    </row>
    <row r="14" spans="2:6" x14ac:dyDescent="0.25">
      <c r="B14" s="19" t="s">
        <v>25</v>
      </c>
      <c r="C14" s="28" t="s">
        <v>24</v>
      </c>
      <c r="D14" s="29">
        <v>45000</v>
      </c>
    </row>
    <row r="15" spans="2:6" x14ac:dyDescent="0.25">
      <c r="B15" s="19" t="s">
        <v>26</v>
      </c>
      <c r="C15" s="28" t="s">
        <v>24</v>
      </c>
      <c r="D15" s="29">
        <v>90000</v>
      </c>
    </row>
    <row r="16" spans="2:6" x14ac:dyDescent="0.25">
      <c r="B16" s="19" t="s">
        <v>27</v>
      </c>
      <c r="C16" s="28" t="s">
        <v>28</v>
      </c>
      <c r="D16" s="19">
        <v>300</v>
      </c>
    </row>
    <row r="17" spans="2:7" x14ac:dyDescent="0.25">
      <c r="B17" s="19" t="s">
        <v>29</v>
      </c>
      <c r="C17" s="28" t="s">
        <v>30</v>
      </c>
      <c r="D17" s="19">
        <v>24</v>
      </c>
    </row>
    <row r="18" spans="2:7" x14ac:dyDescent="0.25">
      <c r="B18" s="20" t="s">
        <v>31</v>
      </c>
      <c r="C18" s="21"/>
      <c r="D18" s="21"/>
    </row>
    <row r="19" spans="2:7" x14ac:dyDescent="0.25">
      <c r="B19" s="19" t="s">
        <v>32</v>
      </c>
      <c r="C19" s="22"/>
      <c r="D19" s="22">
        <v>0.5</v>
      </c>
    </row>
    <row r="20" spans="2:7" x14ac:dyDescent="0.25">
      <c r="B20" s="19" t="s">
        <v>33</v>
      </c>
      <c r="C20" s="22"/>
      <c r="D20" s="22">
        <v>0.6</v>
      </c>
    </row>
    <row r="21" spans="2:7" x14ac:dyDescent="0.25">
      <c r="B21" s="19" t="s">
        <v>34</v>
      </c>
      <c r="C21" s="22"/>
      <c r="D21" s="22">
        <v>0.7</v>
      </c>
    </row>
    <row r="22" spans="2:7" x14ac:dyDescent="0.25">
      <c r="B22" s="19" t="s">
        <v>35</v>
      </c>
      <c r="C22" s="30"/>
      <c r="D22" s="30" t="s">
        <v>36</v>
      </c>
    </row>
    <row r="23" spans="2:7" x14ac:dyDescent="0.25">
      <c r="B23" s="20" t="s">
        <v>37</v>
      </c>
      <c r="C23" s="21"/>
      <c r="D23" s="21"/>
    </row>
    <row r="24" spans="2:7" x14ac:dyDescent="0.25">
      <c r="B24" s="19" t="s">
        <v>38</v>
      </c>
      <c r="C24" s="28" t="s">
        <v>39</v>
      </c>
      <c r="D24" s="19">
        <v>52750</v>
      </c>
    </row>
    <row r="25" spans="2:7" x14ac:dyDescent="0.25">
      <c r="B25" s="19" t="s">
        <v>40</v>
      </c>
      <c r="C25" s="28" t="s">
        <v>39</v>
      </c>
      <c r="D25" s="19">
        <f>D26+10000</f>
        <v>72750</v>
      </c>
    </row>
    <row r="26" spans="2:7" x14ac:dyDescent="0.25">
      <c r="B26" s="19" t="s">
        <v>41</v>
      </c>
      <c r="C26" s="28" t="s">
        <v>39</v>
      </c>
      <c r="D26" s="19">
        <f>D24+10000</f>
        <v>62750</v>
      </c>
    </row>
    <row r="27" spans="2:7" x14ac:dyDescent="0.25">
      <c r="B27" s="19" t="s">
        <v>42</v>
      </c>
      <c r="C27" s="28" t="s">
        <v>39</v>
      </c>
      <c r="D27" s="29">
        <v>47250</v>
      </c>
    </row>
    <row r="28" spans="2:7" x14ac:dyDescent="0.25">
      <c r="B28" s="19" t="s">
        <v>43</v>
      </c>
      <c r="C28" s="28" t="s">
        <v>39</v>
      </c>
      <c r="D28" s="29">
        <v>41343.75</v>
      </c>
    </row>
    <row r="29" spans="2:7" x14ac:dyDescent="0.25">
      <c r="B29" s="19" t="s">
        <v>44</v>
      </c>
      <c r="C29" s="28" t="s">
        <v>39</v>
      </c>
      <c r="D29" s="29">
        <v>44887.5</v>
      </c>
    </row>
    <row r="30" spans="2:7" x14ac:dyDescent="0.25">
      <c r="B30" s="19" t="s">
        <v>45</v>
      </c>
      <c r="C30" s="28" t="s">
        <v>46</v>
      </c>
      <c r="D30" s="25">
        <v>1.2500000000000001E-2</v>
      </c>
    </row>
    <row r="31" spans="2:7" x14ac:dyDescent="0.25">
      <c r="B31" s="20" t="s">
        <v>47</v>
      </c>
      <c r="C31" s="21"/>
      <c r="D31" s="21"/>
      <c r="G31"/>
    </row>
    <row r="32" spans="2:7" x14ac:dyDescent="0.25">
      <c r="B32" s="19" t="s">
        <v>48</v>
      </c>
      <c r="D32" s="31">
        <f>1/0.945</f>
        <v>1.0582010582010584</v>
      </c>
    </row>
    <row r="33" spans="2:4" x14ac:dyDescent="0.25">
      <c r="B33" s="19" t="s">
        <v>49</v>
      </c>
      <c r="D33" s="31">
        <f>1/0.4</f>
        <v>2.5</v>
      </c>
    </row>
    <row r="34" spans="2:4" x14ac:dyDescent="0.25">
      <c r="B34" s="19" t="s">
        <v>50</v>
      </c>
      <c r="D34" s="31">
        <f>1/0.975</f>
        <v>1.0256410256410258</v>
      </c>
    </row>
    <row r="35" spans="2:4" x14ac:dyDescent="0.25">
      <c r="B35" s="19" t="s">
        <v>51</v>
      </c>
      <c r="D35" s="19">
        <v>8.0000000000000002E-3</v>
      </c>
    </row>
    <row r="36" spans="2:4" x14ac:dyDescent="0.25">
      <c r="B36" s="19" t="s">
        <v>52</v>
      </c>
      <c r="D36" s="19">
        <v>6.0000000000000001E-3</v>
      </c>
    </row>
    <row r="37" spans="2:4" x14ac:dyDescent="0.25">
      <c r="B37" s="19" t="s">
        <v>53</v>
      </c>
      <c r="D37" s="19">
        <v>1E-3</v>
      </c>
    </row>
    <row r="38" spans="2:4" x14ac:dyDescent="0.25">
      <c r="B38" s="20" t="s">
        <v>54</v>
      </c>
      <c r="C38" s="21"/>
      <c r="D38" s="21"/>
    </row>
    <row r="39" spans="2:4" x14ac:dyDescent="0.25">
      <c r="B39" s="19" t="str">
        <f>[1]RM!B23</f>
        <v>Crude Palm Oil</v>
      </c>
      <c r="C39" s="28" t="s">
        <v>39</v>
      </c>
      <c r="D39" s="29">
        <v>48000</v>
      </c>
    </row>
    <row r="40" spans="2:4" x14ac:dyDescent="0.25">
      <c r="B40" s="19" t="str">
        <f>[1]RM!B24</f>
        <v>Mustard Seeds</v>
      </c>
      <c r="C40" s="28" t="s">
        <v>39</v>
      </c>
      <c r="D40" s="29">
        <v>45000</v>
      </c>
    </row>
    <row r="41" spans="2:4" x14ac:dyDescent="0.25">
      <c r="B41" s="19" t="str">
        <f>[1]RM!B25</f>
        <v>Crude Oil</v>
      </c>
      <c r="C41" s="28" t="s">
        <v>39</v>
      </c>
      <c r="D41" s="29">
        <v>62000</v>
      </c>
    </row>
    <row r="42" spans="2:4" x14ac:dyDescent="0.25">
      <c r="B42" s="19" t="str">
        <f>[1]RM!B26</f>
        <v>Phosphoric Acid</v>
      </c>
      <c r="C42" s="28" t="s">
        <v>39</v>
      </c>
      <c r="D42" s="29">
        <v>90000</v>
      </c>
    </row>
    <row r="43" spans="2:4" x14ac:dyDescent="0.25">
      <c r="B43" s="19" t="str">
        <f>[1]RM!B27</f>
        <v>Bleaching Powder</v>
      </c>
      <c r="C43" s="28" t="s">
        <v>39</v>
      </c>
      <c r="D43" s="29">
        <v>38000</v>
      </c>
    </row>
    <row r="44" spans="2:4" x14ac:dyDescent="0.25">
      <c r="B44" s="19" t="str">
        <f>[1]RM!B28</f>
        <v>Activated Carbon</v>
      </c>
      <c r="C44" s="28" t="s">
        <v>39</v>
      </c>
      <c r="D44" s="32">
        <v>35000</v>
      </c>
    </row>
    <row r="45" spans="2:4" hidden="1" x14ac:dyDescent="0.25">
      <c r="B45" s="20" t="s">
        <v>55</v>
      </c>
      <c r="C45" s="26"/>
      <c r="D45" s="21"/>
    </row>
    <row r="46" spans="2:4" hidden="1" x14ac:dyDescent="0.25">
      <c r="B46" s="19" t="s">
        <v>56</v>
      </c>
      <c r="C46" s="28"/>
    </row>
    <row r="47" spans="2:4" x14ac:dyDescent="0.25">
      <c r="B47" s="19" t="s">
        <v>45</v>
      </c>
      <c r="C47" s="28" t="s">
        <v>46</v>
      </c>
      <c r="D47" s="22">
        <v>0.01</v>
      </c>
    </row>
    <row r="48" spans="2:4" x14ac:dyDescent="0.25">
      <c r="B48" s="20" t="s">
        <v>57</v>
      </c>
      <c r="C48" s="26"/>
      <c r="D48" s="21"/>
    </row>
    <row r="49" spans="2:4" x14ac:dyDescent="0.25">
      <c r="B49" s="19" t="s">
        <v>58</v>
      </c>
      <c r="C49" s="28" t="s">
        <v>46</v>
      </c>
      <c r="D49" s="25">
        <v>9.5000000000000001E-2</v>
      </c>
    </row>
    <row r="50" spans="2:4" x14ac:dyDescent="0.25">
      <c r="B50" s="19" t="s">
        <v>59</v>
      </c>
      <c r="C50" s="28" t="s">
        <v>46</v>
      </c>
      <c r="D50" s="25">
        <v>0.18099999999999999</v>
      </c>
    </row>
    <row r="51" spans="2:4" x14ac:dyDescent="0.25">
      <c r="B51" s="19" t="s">
        <v>60</v>
      </c>
      <c r="C51" s="28" t="s">
        <v>46</v>
      </c>
      <c r="D51" s="25">
        <v>0.25890000000000002</v>
      </c>
    </row>
    <row r="52" spans="2:4" x14ac:dyDescent="0.25">
      <c r="B52" s="20" t="s">
        <v>61</v>
      </c>
      <c r="C52" s="26"/>
      <c r="D52" s="21"/>
    </row>
    <row r="53" spans="2:4" x14ac:dyDescent="0.25">
      <c r="B53" s="19" t="s">
        <v>58</v>
      </c>
      <c r="C53" s="28" t="s">
        <v>46</v>
      </c>
      <c r="D53" s="25">
        <v>2E-3</v>
      </c>
    </row>
    <row r="54" spans="2:4" x14ac:dyDescent="0.25">
      <c r="B54" s="19" t="s">
        <v>59</v>
      </c>
      <c r="C54" s="28" t="s">
        <v>46</v>
      </c>
      <c r="D54" s="25">
        <v>3.5000000000000001E-3</v>
      </c>
    </row>
    <row r="55" spans="2:4" x14ac:dyDescent="0.25">
      <c r="B55" s="20" t="s">
        <v>505</v>
      </c>
      <c r="C55" s="26"/>
      <c r="D55" s="21"/>
    </row>
    <row r="56" spans="2:4" x14ac:dyDescent="0.25">
      <c r="B56" s="19" t="s">
        <v>544</v>
      </c>
      <c r="C56" s="28" t="s">
        <v>46</v>
      </c>
      <c r="D56" s="25">
        <v>8.0000000000000002E-3</v>
      </c>
    </row>
    <row r="57" spans="2:4" x14ac:dyDescent="0.25">
      <c r="B57" s="19" t="s">
        <v>545</v>
      </c>
      <c r="C57" s="28" t="s">
        <v>46</v>
      </c>
      <c r="D57" s="25">
        <v>0.01</v>
      </c>
    </row>
    <row r="58" spans="2:4" x14ac:dyDescent="0.25">
      <c r="C58" s="28"/>
      <c r="D58" s="25"/>
    </row>
    <row r="59" spans="2:4" x14ac:dyDescent="0.25">
      <c r="B59" s="19" t="s">
        <v>527</v>
      </c>
      <c r="C59" s="28" t="s">
        <v>46</v>
      </c>
      <c r="D59" s="25">
        <f>15%*1.04</f>
        <v>0.156</v>
      </c>
    </row>
    <row r="60" spans="2:4" x14ac:dyDescent="0.25">
      <c r="B60" s="20" t="s">
        <v>425</v>
      </c>
      <c r="C60" s="296" t="s">
        <v>426</v>
      </c>
      <c r="D60" s="296"/>
    </row>
    <row r="61" spans="2:4" x14ac:dyDescent="0.25">
      <c r="B61" s="20"/>
      <c r="C61" s="296" t="s">
        <v>427</v>
      </c>
      <c r="D61" s="296" t="s">
        <v>448</v>
      </c>
    </row>
    <row r="62" spans="2:4" x14ac:dyDescent="0.25">
      <c r="B62" s="20"/>
      <c r="C62" s="296"/>
      <c r="D62" s="296" t="s">
        <v>428</v>
      </c>
    </row>
    <row r="63" spans="2:4" x14ac:dyDescent="0.25">
      <c r="B63" s="27" t="s">
        <v>429</v>
      </c>
    </row>
    <row r="64" spans="2:4" x14ac:dyDescent="0.25">
      <c r="B64" s="19" t="s">
        <v>430</v>
      </c>
      <c r="C64" s="28">
        <v>1</v>
      </c>
      <c r="D64" s="28">
        <v>60000</v>
      </c>
    </row>
    <row r="65" spans="2:4" x14ac:dyDescent="0.25">
      <c r="B65" s="19" t="s">
        <v>431</v>
      </c>
      <c r="C65" s="28">
        <v>2</v>
      </c>
      <c r="D65" s="28">
        <v>25000</v>
      </c>
    </row>
    <row r="66" spans="2:4" x14ac:dyDescent="0.25">
      <c r="B66" s="19" t="s">
        <v>432</v>
      </c>
      <c r="C66" s="28">
        <v>2</v>
      </c>
      <c r="D66" s="28">
        <v>18000</v>
      </c>
    </row>
    <row r="67" spans="2:4" x14ac:dyDescent="0.25">
      <c r="B67" s="19" t="s">
        <v>433</v>
      </c>
      <c r="C67" s="28">
        <v>1</v>
      </c>
      <c r="D67" s="28">
        <v>20000</v>
      </c>
    </row>
    <row r="68" spans="2:4" x14ac:dyDescent="0.25">
      <c r="B68" s="19" t="s">
        <v>434</v>
      </c>
      <c r="C68" s="28">
        <v>2</v>
      </c>
      <c r="D68" s="28">
        <v>18000</v>
      </c>
    </row>
    <row r="69" spans="2:4" x14ac:dyDescent="0.25">
      <c r="B69" s="19" t="s">
        <v>435</v>
      </c>
      <c r="C69" s="28">
        <v>4</v>
      </c>
      <c r="D69" s="28">
        <v>12000</v>
      </c>
    </row>
    <row r="70" spans="2:4" x14ac:dyDescent="0.25">
      <c r="B70" s="19" t="s">
        <v>436</v>
      </c>
      <c r="C70" s="28">
        <v>2</v>
      </c>
      <c r="D70" s="28">
        <v>15000</v>
      </c>
    </row>
    <row r="71" spans="2:4" x14ac:dyDescent="0.25">
      <c r="B71" s="19" t="s">
        <v>437</v>
      </c>
      <c r="C71" s="28">
        <v>2</v>
      </c>
      <c r="D71" s="28">
        <v>12000</v>
      </c>
    </row>
    <row r="72" spans="2:4" x14ac:dyDescent="0.25">
      <c r="B72" s="19" t="s">
        <v>438</v>
      </c>
      <c r="C72" s="28">
        <v>2</v>
      </c>
      <c r="D72" s="28">
        <v>9000</v>
      </c>
    </row>
    <row r="73" spans="2:4" x14ac:dyDescent="0.25">
      <c r="C73" s="28"/>
      <c r="D73" s="28"/>
    </row>
    <row r="74" spans="2:4" x14ac:dyDescent="0.25">
      <c r="B74" s="27" t="s">
        <v>439</v>
      </c>
      <c r="C74" s="28"/>
      <c r="D74" s="28"/>
    </row>
    <row r="75" spans="2:4" x14ac:dyDescent="0.25">
      <c r="B75" s="19" t="s">
        <v>440</v>
      </c>
      <c r="C75" s="28">
        <v>1</v>
      </c>
      <c r="D75" s="28">
        <v>70000</v>
      </c>
    </row>
    <row r="76" spans="2:4" x14ac:dyDescent="0.25">
      <c r="B76" s="19" t="s">
        <v>441</v>
      </c>
      <c r="C76" s="28">
        <v>1</v>
      </c>
      <c r="D76" s="28">
        <v>50000</v>
      </c>
    </row>
    <row r="77" spans="2:4" x14ac:dyDescent="0.25">
      <c r="B77" s="19" t="s">
        <v>442</v>
      </c>
      <c r="C77" s="28">
        <v>1</v>
      </c>
      <c r="D77" s="28">
        <v>25000</v>
      </c>
    </row>
    <row r="78" spans="2:4" x14ac:dyDescent="0.25">
      <c r="B78" s="19" t="s">
        <v>443</v>
      </c>
      <c r="C78" s="28">
        <v>1</v>
      </c>
      <c r="D78" s="28">
        <v>18000</v>
      </c>
    </row>
    <row r="79" spans="2:4" x14ac:dyDescent="0.25">
      <c r="B79" s="19" t="s">
        <v>444</v>
      </c>
      <c r="C79" s="28">
        <v>2</v>
      </c>
      <c r="D79" s="28">
        <v>10000</v>
      </c>
    </row>
    <row r="80" spans="2:4" x14ac:dyDescent="0.25">
      <c r="C80" s="28"/>
      <c r="D80" s="28"/>
    </row>
    <row r="81" spans="2:4" x14ac:dyDescent="0.25">
      <c r="B81" s="19" t="s">
        <v>445</v>
      </c>
      <c r="C81" s="28">
        <v>30</v>
      </c>
      <c r="D81" s="28">
        <v>10000</v>
      </c>
    </row>
    <row r="82" spans="2:4" x14ac:dyDescent="0.25">
      <c r="B82" s="19" t="s">
        <v>446</v>
      </c>
      <c r="C82" s="28">
        <v>15</v>
      </c>
      <c r="D82" s="28">
        <v>6000</v>
      </c>
    </row>
    <row r="83" spans="2:4" x14ac:dyDescent="0.25">
      <c r="B83" s="19" t="s">
        <v>447</v>
      </c>
      <c r="C83" s="28">
        <v>15</v>
      </c>
      <c r="D83" s="28">
        <v>5000</v>
      </c>
    </row>
  </sheetData>
  <pageMargins left="0.7" right="0.7" top="0.75" bottom="0.75" header="0.3" footer="0.3"/>
  <pageSetup paperSize="9" orientation="portrait" horizontalDpi="300" verticalDpi="300" r:id="rId1"/>
  <ignoredErrors>
    <ignoredError sqref="D2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7" tint="0.79998168889431442"/>
  </sheetPr>
  <dimension ref="B2:G20"/>
  <sheetViews>
    <sheetView zoomScaleNormal="100" zoomScaleSheetLayoutView="98" workbookViewId="0">
      <selection activeCell="D16" sqref="D16"/>
    </sheetView>
  </sheetViews>
  <sheetFormatPr defaultRowHeight="14.25" x14ac:dyDescent="0.25"/>
  <cols>
    <col min="1" max="1" width="6.42578125" style="33" customWidth="1"/>
    <col min="2" max="2" width="4.5703125" style="33" customWidth="1"/>
    <col min="3" max="3" width="32.85546875" style="33" customWidth="1"/>
    <col min="4" max="4" width="12.42578125" style="33" customWidth="1"/>
    <col min="5" max="5" width="7.85546875" style="33" customWidth="1"/>
    <col min="6" max="6" width="8.85546875" style="33"/>
    <col min="7" max="7" width="10.5703125" style="33" bestFit="1" customWidth="1"/>
    <col min="8" max="256" width="8.85546875" style="33"/>
    <col min="257" max="257" width="2.140625" style="33" customWidth="1"/>
    <col min="258" max="258" width="4.5703125" style="33" customWidth="1"/>
    <col min="259" max="259" width="32.85546875" style="33" customWidth="1"/>
    <col min="260" max="260" width="10.85546875" style="33" bestFit="1" customWidth="1"/>
    <col min="261" max="261" width="7.85546875" style="33" customWidth="1"/>
    <col min="262" max="512" width="8.85546875" style="33"/>
    <col min="513" max="513" width="2.140625" style="33" customWidth="1"/>
    <col min="514" max="514" width="4.5703125" style="33" customWidth="1"/>
    <col min="515" max="515" width="32.85546875" style="33" customWidth="1"/>
    <col min="516" max="516" width="10.85546875" style="33" bestFit="1" customWidth="1"/>
    <col min="517" max="517" width="7.85546875" style="33" customWidth="1"/>
    <col min="518" max="768" width="8.85546875" style="33"/>
    <col min="769" max="769" width="2.140625" style="33" customWidth="1"/>
    <col min="770" max="770" width="4.5703125" style="33" customWidth="1"/>
    <col min="771" max="771" width="32.85546875" style="33" customWidth="1"/>
    <col min="772" max="772" width="10.85546875" style="33" bestFit="1" customWidth="1"/>
    <col min="773" max="773" width="7.85546875" style="33" customWidth="1"/>
    <col min="774" max="1024" width="8.85546875" style="33"/>
    <col min="1025" max="1025" width="2.140625" style="33" customWidth="1"/>
    <col min="1026" max="1026" width="4.5703125" style="33" customWidth="1"/>
    <col min="1027" max="1027" width="32.85546875" style="33" customWidth="1"/>
    <col min="1028" max="1028" width="10.85546875" style="33" bestFit="1" customWidth="1"/>
    <col min="1029" max="1029" width="7.85546875" style="33" customWidth="1"/>
    <col min="1030" max="1280" width="8.85546875" style="33"/>
    <col min="1281" max="1281" width="2.140625" style="33" customWidth="1"/>
    <col min="1282" max="1282" width="4.5703125" style="33" customWidth="1"/>
    <col min="1283" max="1283" width="32.85546875" style="33" customWidth="1"/>
    <col min="1284" max="1284" width="10.85546875" style="33" bestFit="1" customWidth="1"/>
    <col min="1285" max="1285" width="7.85546875" style="33" customWidth="1"/>
    <col min="1286" max="1536" width="8.85546875" style="33"/>
    <col min="1537" max="1537" width="2.140625" style="33" customWidth="1"/>
    <col min="1538" max="1538" width="4.5703125" style="33" customWidth="1"/>
    <col min="1539" max="1539" width="32.85546875" style="33" customWidth="1"/>
    <col min="1540" max="1540" width="10.85546875" style="33" bestFit="1" customWidth="1"/>
    <col min="1541" max="1541" width="7.85546875" style="33" customWidth="1"/>
    <col min="1542" max="1792" width="8.85546875" style="33"/>
    <col min="1793" max="1793" width="2.140625" style="33" customWidth="1"/>
    <col min="1794" max="1794" width="4.5703125" style="33" customWidth="1"/>
    <col min="1795" max="1795" width="32.85546875" style="33" customWidth="1"/>
    <col min="1796" max="1796" width="10.85546875" style="33" bestFit="1" customWidth="1"/>
    <col min="1797" max="1797" width="7.85546875" style="33" customWidth="1"/>
    <col min="1798" max="2048" width="8.85546875" style="33"/>
    <col min="2049" max="2049" width="2.140625" style="33" customWidth="1"/>
    <col min="2050" max="2050" width="4.5703125" style="33" customWidth="1"/>
    <col min="2051" max="2051" width="32.85546875" style="33" customWidth="1"/>
    <col min="2052" max="2052" width="10.85546875" style="33" bestFit="1" customWidth="1"/>
    <col min="2053" max="2053" width="7.85546875" style="33" customWidth="1"/>
    <col min="2054" max="2304" width="8.85546875" style="33"/>
    <col min="2305" max="2305" width="2.140625" style="33" customWidth="1"/>
    <col min="2306" max="2306" width="4.5703125" style="33" customWidth="1"/>
    <col min="2307" max="2307" width="32.85546875" style="33" customWidth="1"/>
    <col min="2308" max="2308" width="10.85546875" style="33" bestFit="1" customWidth="1"/>
    <col min="2309" max="2309" width="7.85546875" style="33" customWidth="1"/>
    <col min="2310" max="2560" width="8.85546875" style="33"/>
    <col min="2561" max="2561" width="2.140625" style="33" customWidth="1"/>
    <col min="2562" max="2562" width="4.5703125" style="33" customWidth="1"/>
    <col min="2563" max="2563" width="32.85546875" style="33" customWidth="1"/>
    <col min="2564" max="2564" width="10.85546875" style="33" bestFit="1" customWidth="1"/>
    <col min="2565" max="2565" width="7.85546875" style="33" customWidth="1"/>
    <col min="2566" max="2816" width="8.85546875" style="33"/>
    <col min="2817" max="2817" width="2.140625" style="33" customWidth="1"/>
    <col min="2818" max="2818" width="4.5703125" style="33" customWidth="1"/>
    <col min="2819" max="2819" width="32.85546875" style="33" customWidth="1"/>
    <col min="2820" max="2820" width="10.85546875" style="33" bestFit="1" customWidth="1"/>
    <col min="2821" max="2821" width="7.85546875" style="33" customWidth="1"/>
    <col min="2822" max="3072" width="8.85546875" style="33"/>
    <col min="3073" max="3073" width="2.140625" style="33" customWidth="1"/>
    <col min="3074" max="3074" width="4.5703125" style="33" customWidth="1"/>
    <col min="3075" max="3075" width="32.85546875" style="33" customWidth="1"/>
    <col min="3076" max="3076" width="10.85546875" style="33" bestFit="1" customWidth="1"/>
    <col min="3077" max="3077" width="7.85546875" style="33" customWidth="1"/>
    <col min="3078" max="3328" width="8.85546875" style="33"/>
    <col min="3329" max="3329" width="2.140625" style="33" customWidth="1"/>
    <col min="3330" max="3330" width="4.5703125" style="33" customWidth="1"/>
    <col min="3331" max="3331" width="32.85546875" style="33" customWidth="1"/>
    <col min="3332" max="3332" width="10.85546875" style="33" bestFit="1" customWidth="1"/>
    <col min="3333" max="3333" width="7.85546875" style="33" customWidth="1"/>
    <col min="3334" max="3584" width="8.85546875" style="33"/>
    <col min="3585" max="3585" width="2.140625" style="33" customWidth="1"/>
    <col min="3586" max="3586" width="4.5703125" style="33" customWidth="1"/>
    <col min="3587" max="3587" width="32.85546875" style="33" customWidth="1"/>
    <col min="3588" max="3588" width="10.85546875" style="33" bestFit="1" customWidth="1"/>
    <col min="3589" max="3589" width="7.85546875" style="33" customWidth="1"/>
    <col min="3590" max="3840" width="8.85546875" style="33"/>
    <col min="3841" max="3841" width="2.140625" style="33" customWidth="1"/>
    <col min="3842" max="3842" width="4.5703125" style="33" customWidth="1"/>
    <col min="3843" max="3843" width="32.85546875" style="33" customWidth="1"/>
    <col min="3844" max="3844" width="10.85546875" style="33" bestFit="1" customWidth="1"/>
    <col min="3845" max="3845" width="7.85546875" style="33" customWidth="1"/>
    <col min="3846" max="4096" width="8.85546875" style="33"/>
    <col min="4097" max="4097" width="2.140625" style="33" customWidth="1"/>
    <col min="4098" max="4098" width="4.5703125" style="33" customWidth="1"/>
    <col min="4099" max="4099" width="32.85546875" style="33" customWidth="1"/>
    <col min="4100" max="4100" width="10.85546875" style="33" bestFit="1" customWidth="1"/>
    <col min="4101" max="4101" width="7.85546875" style="33" customWidth="1"/>
    <col min="4102" max="4352" width="8.85546875" style="33"/>
    <col min="4353" max="4353" width="2.140625" style="33" customWidth="1"/>
    <col min="4354" max="4354" width="4.5703125" style="33" customWidth="1"/>
    <col min="4355" max="4355" width="32.85546875" style="33" customWidth="1"/>
    <col min="4356" max="4356" width="10.85546875" style="33" bestFit="1" customWidth="1"/>
    <col min="4357" max="4357" width="7.85546875" style="33" customWidth="1"/>
    <col min="4358" max="4608" width="8.85546875" style="33"/>
    <col min="4609" max="4609" width="2.140625" style="33" customWidth="1"/>
    <col min="4610" max="4610" width="4.5703125" style="33" customWidth="1"/>
    <col min="4611" max="4611" width="32.85546875" style="33" customWidth="1"/>
    <col min="4612" max="4612" width="10.85546875" style="33" bestFit="1" customWidth="1"/>
    <col min="4613" max="4613" width="7.85546875" style="33" customWidth="1"/>
    <col min="4614" max="4864" width="8.85546875" style="33"/>
    <col min="4865" max="4865" width="2.140625" style="33" customWidth="1"/>
    <col min="4866" max="4866" width="4.5703125" style="33" customWidth="1"/>
    <col min="4867" max="4867" width="32.85546875" style="33" customWidth="1"/>
    <col min="4868" max="4868" width="10.85546875" style="33" bestFit="1" customWidth="1"/>
    <col min="4869" max="4869" width="7.85546875" style="33" customWidth="1"/>
    <col min="4870" max="5120" width="8.85546875" style="33"/>
    <col min="5121" max="5121" width="2.140625" style="33" customWidth="1"/>
    <col min="5122" max="5122" width="4.5703125" style="33" customWidth="1"/>
    <col min="5123" max="5123" width="32.85546875" style="33" customWidth="1"/>
    <col min="5124" max="5124" width="10.85546875" style="33" bestFit="1" customWidth="1"/>
    <col min="5125" max="5125" width="7.85546875" style="33" customWidth="1"/>
    <col min="5126" max="5376" width="8.85546875" style="33"/>
    <col min="5377" max="5377" width="2.140625" style="33" customWidth="1"/>
    <col min="5378" max="5378" width="4.5703125" style="33" customWidth="1"/>
    <col min="5379" max="5379" width="32.85546875" style="33" customWidth="1"/>
    <col min="5380" max="5380" width="10.85546875" style="33" bestFit="1" customWidth="1"/>
    <col min="5381" max="5381" width="7.85546875" style="33" customWidth="1"/>
    <col min="5382" max="5632" width="8.85546875" style="33"/>
    <col min="5633" max="5633" width="2.140625" style="33" customWidth="1"/>
    <col min="5634" max="5634" width="4.5703125" style="33" customWidth="1"/>
    <col min="5635" max="5635" width="32.85546875" style="33" customWidth="1"/>
    <col min="5636" max="5636" width="10.85546875" style="33" bestFit="1" customWidth="1"/>
    <col min="5637" max="5637" width="7.85546875" style="33" customWidth="1"/>
    <col min="5638" max="5888" width="8.85546875" style="33"/>
    <col min="5889" max="5889" width="2.140625" style="33" customWidth="1"/>
    <col min="5890" max="5890" width="4.5703125" style="33" customWidth="1"/>
    <col min="5891" max="5891" width="32.85546875" style="33" customWidth="1"/>
    <col min="5892" max="5892" width="10.85546875" style="33" bestFit="1" customWidth="1"/>
    <col min="5893" max="5893" width="7.85546875" style="33" customWidth="1"/>
    <col min="5894" max="6144" width="8.85546875" style="33"/>
    <col min="6145" max="6145" width="2.140625" style="33" customWidth="1"/>
    <col min="6146" max="6146" width="4.5703125" style="33" customWidth="1"/>
    <col min="6147" max="6147" width="32.85546875" style="33" customWidth="1"/>
    <col min="6148" max="6148" width="10.85546875" style="33" bestFit="1" customWidth="1"/>
    <col min="6149" max="6149" width="7.85546875" style="33" customWidth="1"/>
    <col min="6150" max="6400" width="8.85546875" style="33"/>
    <col min="6401" max="6401" width="2.140625" style="33" customWidth="1"/>
    <col min="6402" max="6402" width="4.5703125" style="33" customWidth="1"/>
    <col min="6403" max="6403" width="32.85546875" style="33" customWidth="1"/>
    <col min="6404" max="6404" width="10.85546875" style="33" bestFit="1" customWidth="1"/>
    <col min="6405" max="6405" width="7.85546875" style="33" customWidth="1"/>
    <col min="6406" max="6656" width="8.85546875" style="33"/>
    <col min="6657" max="6657" width="2.140625" style="33" customWidth="1"/>
    <col min="6658" max="6658" width="4.5703125" style="33" customWidth="1"/>
    <col min="6659" max="6659" width="32.85546875" style="33" customWidth="1"/>
    <col min="6660" max="6660" width="10.85546875" style="33" bestFit="1" customWidth="1"/>
    <col min="6661" max="6661" width="7.85546875" style="33" customWidth="1"/>
    <col min="6662" max="6912" width="8.85546875" style="33"/>
    <col min="6913" max="6913" width="2.140625" style="33" customWidth="1"/>
    <col min="6914" max="6914" width="4.5703125" style="33" customWidth="1"/>
    <col min="6915" max="6915" width="32.85546875" style="33" customWidth="1"/>
    <col min="6916" max="6916" width="10.85546875" style="33" bestFit="1" customWidth="1"/>
    <col min="6917" max="6917" width="7.85546875" style="33" customWidth="1"/>
    <col min="6918" max="7168" width="8.85546875" style="33"/>
    <col min="7169" max="7169" width="2.140625" style="33" customWidth="1"/>
    <col min="7170" max="7170" width="4.5703125" style="33" customWidth="1"/>
    <col min="7171" max="7171" width="32.85546875" style="33" customWidth="1"/>
    <col min="7172" max="7172" width="10.85546875" style="33" bestFit="1" customWidth="1"/>
    <col min="7173" max="7173" width="7.85546875" style="33" customWidth="1"/>
    <col min="7174" max="7424" width="8.85546875" style="33"/>
    <col min="7425" max="7425" width="2.140625" style="33" customWidth="1"/>
    <col min="7426" max="7426" width="4.5703125" style="33" customWidth="1"/>
    <col min="7427" max="7427" width="32.85546875" style="33" customWidth="1"/>
    <col min="7428" max="7428" width="10.85546875" style="33" bestFit="1" customWidth="1"/>
    <col min="7429" max="7429" width="7.85546875" style="33" customWidth="1"/>
    <col min="7430" max="7680" width="8.85546875" style="33"/>
    <col min="7681" max="7681" width="2.140625" style="33" customWidth="1"/>
    <col min="7682" max="7682" width="4.5703125" style="33" customWidth="1"/>
    <col min="7683" max="7683" width="32.85546875" style="33" customWidth="1"/>
    <col min="7684" max="7684" width="10.85546875" style="33" bestFit="1" customWidth="1"/>
    <col min="7685" max="7685" width="7.85546875" style="33" customWidth="1"/>
    <col min="7686" max="7936" width="8.85546875" style="33"/>
    <col min="7937" max="7937" width="2.140625" style="33" customWidth="1"/>
    <col min="7938" max="7938" width="4.5703125" style="33" customWidth="1"/>
    <col min="7939" max="7939" width="32.85546875" style="33" customWidth="1"/>
    <col min="7940" max="7940" width="10.85546875" style="33" bestFit="1" customWidth="1"/>
    <col min="7941" max="7941" width="7.85546875" style="33" customWidth="1"/>
    <col min="7942" max="8192" width="8.85546875" style="33"/>
    <col min="8193" max="8193" width="2.140625" style="33" customWidth="1"/>
    <col min="8194" max="8194" width="4.5703125" style="33" customWidth="1"/>
    <col min="8195" max="8195" width="32.85546875" style="33" customWidth="1"/>
    <col min="8196" max="8196" width="10.85546875" style="33" bestFit="1" customWidth="1"/>
    <col min="8197" max="8197" width="7.85546875" style="33" customWidth="1"/>
    <col min="8198" max="8448" width="8.85546875" style="33"/>
    <col min="8449" max="8449" width="2.140625" style="33" customWidth="1"/>
    <col min="8450" max="8450" width="4.5703125" style="33" customWidth="1"/>
    <col min="8451" max="8451" width="32.85546875" style="33" customWidth="1"/>
    <col min="8452" max="8452" width="10.85546875" style="33" bestFit="1" customWidth="1"/>
    <col min="8453" max="8453" width="7.85546875" style="33" customWidth="1"/>
    <col min="8454" max="8704" width="8.85546875" style="33"/>
    <col min="8705" max="8705" width="2.140625" style="33" customWidth="1"/>
    <col min="8706" max="8706" width="4.5703125" style="33" customWidth="1"/>
    <col min="8707" max="8707" width="32.85546875" style="33" customWidth="1"/>
    <col min="8708" max="8708" width="10.85546875" style="33" bestFit="1" customWidth="1"/>
    <col min="8709" max="8709" width="7.85546875" style="33" customWidth="1"/>
    <col min="8710" max="8960" width="8.85546875" style="33"/>
    <col min="8961" max="8961" width="2.140625" style="33" customWidth="1"/>
    <col min="8962" max="8962" width="4.5703125" style="33" customWidth="1"/>
    <col min="8963" max="8963" width="32.85546875" style="33" customWidth="1"/>
    <col min="8964" max="8964" width="10.85546875" style="33" bestFit="1" customWidth="1"/>
    <col min="8965" max="8965" width="7.85546875" style="33" customWidth="1"/>
    <col min="8966" max="9216" width="8.85546875" style="33"/>
    <col min="9217" max="9217" width="2.140625" style="33" customWidth="1"/>
    <col min="9218" max="9218" width="4.5703125" style="33" customWidth="1"/>
    <col min="9219" max="9219" width="32.85546875" style="33" customWidth="1"/>
    <col min="9220" max="9220" width="10.85546875" style="33" bestFit="1" customWidth="1"/>
    <col min="9221" max="9221" width="7.85546875" style="33" customWidth="1"/>
    <col min="9222" max="9472" width="8.85546875" style="33"/>
    <col min="9473" max="9473" width="2.140625" style="33" customWidth="1"/>
    <col min="9474" max="9474" width="4.5703125" style="33" customWidth="1"/>
    <col min="9475" max="9475" width="32.85546875" style="33" customWidth="1"/>
    <col min="9476" max="9476" width="10.85546875" style="33" bestFit="1" customWidth="1"/>
    <col min="9477" max="9477" width="7.85546875" style="33" customWidth="1"/>
    <col min="9478" max="9728" width="8.85546875" style="33"/>
    <col min="9729" max="9729" width="2.140625" style="33" customWidth="1"/>
    <col min="9730" max="9730" width="4.5703125" style="33" customWidth="1"/>
    <col min="9731" max="9731" width="32.85546875" style="33" customWidth="1"/>
    <col min="9732" max="9732" width="10.85546875" style="33" bestFit="1" customWidth="1"/>
    <col min="9733" max="9733" width="7.85546875" style="33" customWidth="1"/>
    <col min="9734" max="9984" width="8.85546875" style="33"/>
    <col min="9985" max="9985" width="2.140625" style="33" customWidth="1"/>
    <col min="9986" max="9986" width="4.5703125" style="33" customWidth="1"/>
    <col min="9987" max="9987" width="32.85546875" style="33" customWidth="1"/>
    <col min="9988" max="9988" width="10.85546875" style="33" bestFit="1" customWidth="1"/>
    <col min="9989" max="9989" width="7.85546875" style="33" customWidth="1"/>
    <col min="9990" max="10240" width="8.85546875" style="33"/>
    <col min="10241" max="10241" width="2.140625" style="33" customWidth="1"/>
    <col min="10242" max="10242" width="4.5703125" style="33" customWidth="1"/>
    <col min="10243" max="10243" width="32.85546875" style="33" customWidth="1"/>
    <col min="10244" max="10244" width="10.85546875" style="33" bestFit="1" customWidth="1"/>
    <col min="10245" max="10245" width="7.85546875" style="33" customWidth="1"/>
    <col min="10246" max="10496" width="8.85546875" style="33"/>
    <col min="10497" max="10497" width="2.140625" style="33" customWidth="1"/>
    <col min="10498" max="10498" width="4.5703125" style="33" customWidth="1"/>
    <col min="10499" max="10499" width="32.85546875" style="33" customWidth="1"/>
    <col min="10500" max="10500" width="10.85546875" style="33" bestFit="1" customWidth="1"/>
    <col min="10501" max="10501" width="7.85546875" style="33" customWidth="1"/>
    <col min="10502" max="10752" width="8.85546875" style="33"/>
    <col min="10753" max="10753" width="2.140625" style="33" customWidth="1"/>
    <col min="10754" max="10754" width="4.5703125" style="33" customWidth="1"/>
    <col min="10755" max="10755" width="32.85546875" style="33" customWidth="1"/>
    <col min="10756" max="10756" width="10.85546875" style="33" bestFit="1" customWidth="1"/>
    <col min="10757" max="10757" width="7.85546875" style="33" customWidth="1"/>
    <col min="10758" max="11008" width="8.85546875" style="33"/>
    <col min="11009" max="11009" width="2.140625" style="33" customWidth="1"/>
    <col min="11010" max="11010" width="4.5703125" style="33" customWidth="1"/>
    <col min="11011" max="11011" width="32.85546875" style="33" customWidth="1"/>
    <col min="11012" max="11012" width="10.85546875" style="33" bestFit="1" customWidth="1"/>
    <col min="11013" max="11013" width="7.85546875" style="33" customWidth="1"/>
    <col min="11014" max="11264" width="8.85546875" style="33"/>
    <col min="11265" max="11265" width="2.140625" style="33" customWidth="1"/>
    <col min="11266" max="11266" width="4.5703125" style="33" customWidth="1"/>
    <col min="11267" max="11267" width="32.85546875" style="33" customWidth="1"/>
    <col min="11268" max="11268" width="10.85546875" style="33" bestFit="1" customWidth="1"/>
    <col min="11269" max="11269" width="7.85546875" style="33" customWidth="1"/>
    <col min="11270" max="11520" width="8.85546875" style="33"/>
    <col min="11521" max="11521" width="2.140625" style="33" customWidth="1"/>
    <col min="11522" max="11522" width="4.5703125" style="33" customWidth="1"/>
    <col min="11523" max="11523" width="32.85546875" style="33" customWidth="1"/>
    <col min="11524" max="11524" width="10.85546875" style="33" bestFit="1" customWidth="1"/>
    <col min="11525" max="11525" width="7.85546875" style="33" customWidth="1"/>
    <col min="11526" max="11776" width="8.85546875" style="33"/>
    <col min="11777" max="11777" width="2.140625" style="33" customWidth="1"/>
    <col min="11778" max="11778" width="4.5703125" style="33" customWidth="1"/>
    <col min="11779" max="11779" width="32.85546875" style="33" customWidth="1"/>
    <col min="11780" max="11780" width="10.85546875" style="33" bestFit="1" customWidth="1"/>
    <col min="11781" max="11781" width="7.85546875" style="33" customWidth="1"/>
    <col min="11782" max="12032" width="8.85546875" style="33"/>
    <col min="12033" max="12033" width="2.140625" style="33" customWidth="1"/>
    <col min="12034" max="12034" width="4.5703125" style="33" customWidth="1"/>
    <col min="12035" max="12035" width="32.85546875" style="33" customWidth="1"/>
    <col min="12036" max="12036" width="10.85546875" style="33" bestFit="1" customWidth="1"/>
    <col min="12037" max="12037" width="7.85546875" style="33" customWidth="1"/>
    <col min="12038" max="12288" width="8.85546875" style="33"/>
    <col min="12289" max="12289" width="2.140625" style="33" customWidth="1"/>
    <col min="12290" max="12290" width="4.5703125" style="33" customWidth="1"/>
    <col min="12291" max="12291" width="32.85546875" style="33" customWidth="1"/>
    <col min="12292" max="12292" width="10.85546875" style="33" bestFit="1" customWidth="1"/>
    <col min="12293" max="12293" width="7.85546875" style="33" customWidth="1"/>
    <col min="12294" max="12544" width="8.85546875" style="33"/>
    <col min="12545" max="12545" width="2.140625" style="33" customWidth="1"/>
    <col min="12546" max="12546" width="4.5703125" style="33" customWidth="1"/>
    <col min="12547" max="12547" width="32.85546875" style="33" customWidth="1"/>
    <col min="12548" max="12548" width="10.85546875" style="33" bestFit="1" customWidth="1"/>
    <col min="12549" max="12549" width="7.85546875" style="33" customWidth="1"/>
    <col min="12550" max="12800" width="8.85546875" style="33"/>
    <col min="12801" max="12801" width="2.140625" style="33" customWidth="1"/>
    <col min="12802" max="12802" width="4.5703125" style="33" customWidth="1"/>
    <col min="12803" max="12803" width="32.85546875" style="33" customWidth="1"/>
    <col min="12804" max="12804" width="10.85546875" style="33" bestFit="1" customWidth="1"/>
    <col min="12805" max="12805" width="7.85546875" style="33" customWidth="1"/>
    <col min="12806" max="13056" width="8.85546875" style="33"/>
    <col min="13057" max="13057" width="2.140625" style="33" customWidth="1"/>
    <col min="13058" max="13058" width="4.5703125" style="33" customWidth="1"/>
    <col min="13059" max="13059" width="32.85546875" style="33" customWidth="1"/>
    <col min="13060" max="13060" width="10.85546875" style="33" bestFit="1" customWidth="1"/>
    <col min="13061" max="13061" width="7.85546875" style="33" customWidth="1"/>
    <col min="13062" max="13312" width="8.85546875" style="33"/>
    <col min="13313" max="13313" width="2.140625" style="33" customWidth="1"/>
    <col min="13314" max="13314" width="4.5703125" style="33" customWidth="1"/>
    <col min="13315" max="13315" width="32.85546875" style="33" customWidth="1"/>
    <col min="13316" max="13316" width="10.85546875" style="33" bestFit="1" customWidth="1"/>
    <col min="13317" max="13317" width="7.85546875" style="33" customWidth="1"/>
    <col min="13318" max="13568" width="8.85546875" style="33"/>
    <col min="13569" max="13569" width="2.140625" style="33" customWidth="1"/>
    <col min="13570" max="13570" width="4.5703125" style="33" customWidth="1"/>
    <col min="13571" max="13571" width="32.85546875" style="33" customWidth="1"/>
    <col min="13572" max="13572" width="10.85546875" style="33" bestFit="1" customWidth="1"/>
    <col min="13573" max="13573" width="7.85546875" style="33" customWidth="1"/>
    <col min="13574" max="13824" width="8.85546875" style="33"/>
    <col min="13825" max="13825" width="2.140625" style="33" customWidth="1"/>
    <col min="13826" max="13826" width="4.5703125" style="33" customWidth="1"/>
    <col min="13827" max="13827" width="32.85546875" style="33" customWidth="1"/>
    <col min="13828" max="13828" width="10.85546875" style="33" bestFit="1" customWidth="1"/>
    <col min="13829" max="13829" width="7.85546875" style="33" customWidth="1"/>
    <col min="13830" max="14080" width="8.85546875" style="33"/>
    <col min="14081" max="14081" width="2.140625" style="33" customWidth="1"/>
    <col min="14082" max="14082" width="4.5703125" style="33" customWidth="1"/>
    <col min="14083" max="14083" width="32.85546875" style="33" customWidth="1"/>
    <col min="14084" max="14084" width="10.85546875" style="33" bestFit="1" customWidth="1"/>
    <col min="14085" max="14085" width="7.85546875" style="33" customWidth="1"/>
    <col min="14086" max="14336" width="8.85546875" style="33"/>
    <col min="14337" max="14337" width="2.140625" style="33" customWidth="1"/>
    <col min="14338" max="14338" width="4.5703125" style="33" customWidth="1"/>
    <col min="14339" max="14339" width="32.85546875" style="33" customWidth="1"/>
    <col min="14340" max="14340" width="10.85546875" style="33" bestFit="1" customWidth="1"/>
    <col min="14341" max="14341" width="7.85546875" style="33" customWidth="1"/>
    <col min="14342" max="14592" width="8.85546875" style="33"/>
    <col min="14593" max="14593" width="2.140625" style="33" customWidth="1"/>
    <col min="14594" max="14594" width="4.5703125" style="33" customWidth="1"/>
    <col min="14595" max="14595" width="32.85546875" style="33" customWidth="1"/>
    <col min="14596" max="14596" width="10.85546875" style="33" bestFit="1" customWidth="1"/>
    <col min="14597" max="14597" width="7.85546875" style="33" customWidth="1"/>
    <col min="14598" max="14848" width="8.85546875" style="33"/>
    <col min="14849" max="14849" width="2.140625" style="33" customWidth="1"/>
    <col min="14850" max="14850" width="4.5703125" style="33" customWidth="1"/>
    <col min="14851" max="14851" width="32.85546875" style="33" customWidth="1"/>
    <col min="14852" max="14852" width="10.85546875" style="33" bestFit="1" customWidth="1"/>
    <col min="14853" max="14853" width="7.85546875" style="33" customWidth="1"/>
    <col min="14854" max="15104" width="8.85546875" style="33"/>
    <col min="15105" max="15105" width="2.140625" style="33" customWidth="1"/>
    <col min="15106" max="15106" width="4.5703125" style="33" customWidth="1"/>
    <col min="15107" max="15107" width="32.85546875" style="33" customWidth="1"/>
    <col min="15108" max="15108" width="10.85546875" style="33" bestFit="1" customWidth="1"/>
    <col min="15109" max="15109" width="7.85546875" style="33" customWidth="1"/>
    <col min="15110" max="15360" width="8.85546875" style="33"/>
    <col min="15361" max="15361" width="2.140625" style="33" customWidth="1"/>
    <col min="15362" max="15362" width="4.5703125" style="33" customWidth="1"/>
    <col min="15363" max="15363" width="32.85546875" style="33" customWidth="1"/>
    <col min="15364" max="15364" width="10.85546875" style="33" bestFit="1" customWidth="1"/>
    <col min="15365" max="15365" width="7.85546875" style="33" customWidth="1"/>
    <col min="15366" max="15616" width="8.85546875" style="33"/>
    <col min="15617" max="15617" width="2.140625" style="33" customWidth="1"/>
    <col min="15618" max="15618" width="4.5703125" style="33" customWidth="1"/>
    <col min="15619" max="15619" width="32.85546875" style="33" customWidth="1"/>
    <col min="15620" max="15620" width="10.85546875" style="33" bestFit="1" customWidth="1"/>
    <col min="15621" max="15621" width="7.85546875" style="33" customWidth="1"/>
    <col min="15622" max="15872" width="8.85546875" style="33"/>
    <col min="15873" max="15873" width="2.140625" style="33" customWidth="1"/>
    <col min="15874" max="15874" width="4.5703125" style="33" customWidth="1"/>
    <col min="15875" max="15875" width="32.85546875" style="33" customWidth="1"/>
    <col min="15876" max="15876" width="10.85546875" style="33" bestFit="1" customWidth="1"/>
    <col min="15877" max="15877" width="7.85546875" style="33" customWidth="1"/>
    <col min="15878" max="16128" width="8.85546875" style="33"/>
    <col min="16129" max="16129" width="2.140625" style="33" customWidth="1"/>
    <col min="16130" max="16130" width="4.5703125" style="33" customWidth="1"/>
    <col min="16131" max="16131" width="32.85546875" style="33" customWidth="1"/>
    <col min="16132" max="16132" width="10.85546875" style="33" bestFit="1" customWidth="1"/>
    <col min="16133" max="16133" width="7.85546875" style="33" customWidth="1"/>
    <col min="16134" max="16384" width="8.85546875" style="33"/>
  </cols>
  <sheetData>
    <row r="2" spans="2:7" ht="24.75" customHeight="1" x14ac:dyDescent="0.25">
      <c r="B2" s="449" t="s">
        <v>62</v>
      </c>
      <c r="C2" s="450"/>
      <c r="D2" s="450"/>
      <c r="E2" s="451"/>
    </row>
    <row r="3" spans="2:7" x14ac:dyDescent="0.25">
      <c r="B3" s="452" t="s">
        <v>63</v>
      </c>
      <c r="C3" s="34" t="s">
        <v>64</v>
      </c>
      <c r="D3" s="35">
        <v>140</v>
      </c>
      <c r="E3" s="34" t="s">
        <v>65</v>
      </c>
      <c r="G3" s="36"/>
    </row>
    <row r="4" spans="2:7" x14ac:dyDescent="0.25">
      <c r="B4" s="453"/>
      <c r="C4" s="34" t="s">
        <v>66</v>
      </c>
      <c r="D4" s="35">
        <v>41.62</v>
      </c>
      <c r="E4" s="34" t="s">
        <v>65</v>
      </c>
      <c r="G4" s="36"/>
    </row>
    <row r="5" spans="2:7" x14ac:dyDescent="0.25">
      <c r="B5" s="454"/>
      <c r="C5" s="34" t="s">
        <v>67</v>
      </c>
      <c r="D5" s="35">
        <v>4.38</v>
      </c>
      <c r="E5" s="34" t="s">
        <v>65</v>
      </c>
      <c r="G5" s="36"/>
    </row>
    <row r="6" spans="2:7" x14ac:dyDescent="0.25">
      <c r="B6" s="37"/>
      <c r="C6" s="38" t="s">
        <v>68</v>
      </c>
      <c r="D6" s="39">
        <v>186</v>
      </c>
      <c r="E6" s="40" t="s">
        <v>65</v>
      </c>
      <c r="G6" s="36"/>
    </row>
    <row r="7" spans="2:7" ht="28.5" x14ac:dyDescent="0.25">
      <c r="B7" s="41" t="s">
        <v>69</v>
      </c>
      <c r="C7" s="42" t="s">
        <v>70</v>
      </c>
      <c r="D7" s="35">
        <v>503.81</v>
      </c>
      <c r="E7" s="34" t="s">
        <v>65</v>
      </c>
      <c r="G7" s="36"/>
    </row>
    <row r="8" spans="2:7" x14ac:dyDescent="0.25">
      <c r="B8" s="37"/>
      <c r="C8" s="38" t="s">
        <v>71</v>
      </c>
      <c r="D8" s="39">
        <v>503.81</v>
      </c>
      <c r="E8" s="40" t="s">
        <v>65</v>
      </c>
      <c r="G8" s="36"/>
    </row>
    <row r="9" spans="2:7" ht="30.75" customHeight="1" x14ac:dyDescent="0.25">
      <c r="B9" s="41" t="s">
        <v>72</v>
      </c>
      <c r="C9" s="42" t="s">
        <v>73</v>
      </c>
      <c r="D9" s="35">
        <v>53.25</v>
      </c>
      <c r="E9" s="34" t="s">
        <v>65</v>
      </c>
      <c r="G9" s="36"/>
    </row>
    <row r="10" spans="2:7" x14ac:dyDescent="0.25">
      <c r="B10" s="37"/>
      <c r="C10" s="43" t="s">
        <v>74</v>
      </c>
      <c r="D10" s="39">
        <v>53.25</v>
      </c>
      <c r="E10" s="40" t="s">
        <v>65</v>
      </c>
      <c r="G10" s="36"/>
    </row>
    <row r="11" spans="2:7" ht="28.5" x14ac:dyDescent="0.25">
      <c r="B11" s="41" t="s">
        <v>75</v>
      </c>
      <c r="C11" s="42" t="s">
        <v>76</v>
      </c>
      <c r="D11" s="35">
        <v>56.5</v>
      </c>
      <c r="E11" s="34" t="s">
        <v>65</v>
      </c>
    </row>
    <row r="12" spans="2:7" x14ac:dyDescent="0.25">
      <c r="B12" s="37"/>
      <c r="C12" s="43" t="s">
        <v>77</v>
      </c>
      <c r="D12" s="39">
        <v>56.5</v>
      </c>
      <c r="E12" s="40" t="s">
        <v>65</v>
      </c>
    </row>
    <row r="13" spans="2:7" x14ac:dyDescent="0.25">
      <c r="B13" s="41"/>
      <c r="C13" s="34"/>
      <c r="D13" s="35"/>
      <c r="E13" s="34"/>
    </row>
    <row r="14" spans="2:7" x14ac:dyDescent="0.25">
      <c r="B14" s="41"/>
      <c r="D14" s="35"/>
      <c r="E14" s="34"/>
    </row>
    <row r="15" spans="2:7" ht="25.5" customHeight="1" x14ac:dyDescent="0.25">
      <c r="B15" s="455" t="s">
        <v>78</v>
      </c>
      <c r="C15" s="455"/>
      <c r="D15" s="44">
        <f>SUM(D6+D8+D10+D12)</f>
        <v>799.56</v>
      </c>
      <c r="E15" s="45" t="s">
        <v>65</v>
      </c>
    </row>
    <row r="16" spans="2:7" x14ac:dyDescent="0.25">
      <c r="B16" s="34"/>
      <c r="C16" s="34" t="s">
        <v>79</v>
      </c>
      <c r="D16" s="35">
        <f>ROUND(D15,0)</f>
        <v>800</v>
      </c>
      <c r="E16" s="34" t="s">
        <v>65</v>
      </c>
    </row>
    <row r="19" spans="4:4" x14ac:dyDescent="0.25">
      <c r="D19" s="46"/>
    </row>
    <row r="20" spans="4:4" x14ac:dyDescent="0.25">
      <c r="D20" s="46"/>
    </row>
  </sheetData>
  <mergeCells count="3">
    <mergeCell ref="B2:E2"/>
    <mergeCell ref="B3:B5"/>
    <mergeCell ref="B15:C15"/>
  </mergeCells>
  <pageMargins left="0.45" right="0.45" top="0.75" bottom="0.75" header="0.3" footer="0.3"/>
  <pageSetup paperSize="9" scale="120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7" tint="0.79998168889431442"/>
  </sheetPr>
  <dimension ref="A2:J22"/>
  <sheetViews>
    <sheetView zoomScaleNormal="100" zoomScaleSheetLayoutView="90" workbookViewId="0">
      <selection activeCell="D16" sqref="D16"/>
    </sheetView>
  </sheetViews>
  <sheetFormatPr defaultRowHeight="14.25" x14ac:dyDescent="0.2"/>
  <cols>
    <col min="1" max="1" width="5.85546875" style="47" customWidth="1"/>
    <col min="2" max="2" width="7.85546875" style="48" customWidth="1"/>
    <col min="3" max="3" width="37.140625" style="47" customWidth="1"/>
    <col min="4" max="4" width="13.85546875" style="48" bestFit="1" customWidth="1"/>
    <col min="5" max="5" width="7.140625" style="48" bestFit="1" customWidth="1"/>
    <col min="6" max="6" width="6" style="47" customWidth="1"/>
    <col min="7" max="7" width="12.85546875" style="47" customWidth="1"/>
    <col min="8" max="8" width="13.42578125" style="47" bestFit="1" customWidth="1"/>
    <col min="9" max="255" width="8.85546875" style="47"/>
    <col min="256" max="256" width="1.85546875" style="47" customWidth="1"/>
    <col min="257" max="257" width="7.85546875" style="47" customWidth="1"/>
    <col min="258" max="258" width="25.5703125" style="47" bestFit="1" customWidth="1"/>
    <col min="259" max="261" width="6" style="47" customWidth="1"/>
    <col min="262" max="263" width="12.85546875" style="47" customWidth="1"/>
    <col min="264" max="264" width="20" style="47" customWidth="1"/>
    <col min="265" max="511" width="8.85546875" style="47"/>
    <col min="512" max="512" width="1.85546875" style="47" customWidth="1"/>
    <col min="513" max="513" width="7.85546875" style="47" customWidth="1"/>
    <col min="514" max="514" width="25.5703125" style="47" bestFit="1" customWidth="1"/>
    <col min="515" max="517" width="6" style="47" customWidth="1"/>
    <col min="518" max="519" width="12.85546875" style="47" customWidth="1"/>
    <col min="520" max="520" width="20" style="47" customWidth="1"/>
    <col min="521" max="767" width="8.85546875" style="47"/>
    <col min="768" max="768" width="1.85546875" style="47" customWidth="1"/>
    <col min="769" max="769" width="7.85546875" style="47" customWidth="1"/>
    <col min="770" max="770" width="25.5703125" style="47" bestFit="1" customWidth="1"/>
    <col min="771" max="773" width="6" style="47" customWidth="1"/>
    <col min="774" max="775" width="12.85546875" style="47" customWidth="1"/>
    <col min="776" max="776" width="20" style="47" customWidth="1"/>
    <col min="777" max="1023" width="8.85546875" style="47"/>
    <col min="1024" max="1024" width="1.85546875" style="47" customWidth="1"/>
    <col min="1025" max="1025" width="7.85546875" style="47" customWidth="1"/>
    <col min="1026" max="1026" width="25.5703125" style="47" bestFit="1" customWidth="1"/>
    <col min="1027" max="1029" width="6" style="47" customWidth="1"/>
    <col min="1030" max="1031" width="12.85546875" style="47" customWidth="1"/>
    <col min="1032" max="1032" width="20" style="47" customWidth="1"/>
    <col min="1033" max="1279" width="8.85546875" style="47"/>
    <col min="1280" max="1280" width="1.85546875" style="47" customWidth="1"/>
    <col min="1281" max="1281" width="7.85546875" style="47" customWidth="1"/>
    <col min="1282" max="1282" width="25.5703125" style="47" bestFit="1" customWidth="1"/>
    <col min="1283" max="1285" width="6" style="47" customWidth="1"/>
    <col min="1286" max="1287" width="12.85546875" style="47" customWidth="1"/>
    <col min="1288" max="1288" width="20" style="47" customWidth="1"/>
    <col min="1289" max="1535" width="8.85546875" style="47"/>
    <col min="1536" max="1536" width="1.85546875" style="47" customWidth="1"/>
    <col min="1537" max="1537" width="7.85546875" style="47" customWidth="1"/>
    <col min="1538" max="1538" width="25.5703125" style="47" bestFit="1" customWidth="1"/>
    <col min="1539" max="1541" width="6" style="47" customWidth="1"/>
    <col min="1542" max="1543" width="12.85546875" style="47" customWidth="1"/>
    <col min="1544" max="1544" width="20" style="47" customWidth="1"/>
    <col min="1545" max="1791" width="8.85546875" style="47"/>
    <col min="1792" max="1792" width="1.85546875" style="47" customWidth="1"/>
    <col min="1793" max="1793" width="7.85546875" style="47" customWidth="1"/>
    <col min="1794" max="1794" width="25.5703125" style="47" bestFit="1" customWidth="1"/>
    <col min="1795" max="1797" width="6" style="47" customWidth="1"/>
    <col min="1798" max="1799" width="12.85546875" style="47" customWidth="1"/>
    <col min="1800" max="1800" width="20" style="47" customWidth="1"/>
    <col min="1801" max="2047" width="8.85546875" style="47"/>
    <col min="2048" max="2048" width="1.85546875" style="47" customWidth="1"/>
    <col min="2049" max="2049" width="7.85546875" style="47" customWidth="1"/>
    <col min="2050" max="2050" width="25.5703125" style="47" bestFit="1" customWidth="1"/>
    <col min="2051" max="2053" width="6" style="47" customWidth="1"/>
    <col min="2054" max="2055" width="12.85546875" style="47" customWidth="1"/>
    <col min="2056" max="2056" width="20" style="47" customWidth="1"/>
    <col min="2057" max="2303" width="8.85546875" style="47"/>
    <col min="2304" max="2304" width="1.85546875" style="47" customWidth="1"/>
    <col min="2305" max="2305" width="7.85546875" style="47" customWidth="1"/>
    <col min="2306" max="2306" width="25.5703125" style="47" bestFit="1" customWidth="1"/>
    <col min="2307" max="2309" width="6" style="47" customWidth="1"/>
    <col min="2310" max="2311" width="12.85546875" style="47" customWidth="1"/>
    <col min="2312" max="2312" width="20" style="47" customWidth="1"/>
    <col min="2313" max="2559" width="8.85546875" style="47"/>
    <col min="2560" max="2560" width="1.85546875" style="47" customWidth="1"/>
    <col min="2561" max="2561" width="7.85546875" style="47" customWidth="1"/>
    <col min="2562" max="2562" width="25.5703125" style="47" bestFit="1" customWidth="1"/>
    <col min="2563" max="2565" width="6" style="47" customWidth="1"/>
    <col min="2566" max="2567" width="12.85546875" style="47" customWidth="1"/>
    <col min="2568" max="2568" width="20" style="47" customWidth="1"/>
    <col min="2569" max="2815" width="8.85546875" style="47"/>
    <col min="2816" max="2816" width="1.85546875" style="47" customWidth="1"/>
    <col min="2817" max="2817" width="7.85546875" style="47" customWidth="1"/>
    <col min="2818" max="2818" width="25.5703125" style="47" bestFit="1" customWidth="1"/>
    <col min="2819" max="2821" width="6" style="47" customWidth="1"/>
    <col min="2822" max="2823" width="12.85546875" style="47" customWidth="1"/>
    <col min="2824" max="2824" width="20" style="47" customWidth="1"/>
    <col min="2825" max="3071" width="8.85546875" style="47"/>
    <col min="3072" max="3072" width="1.85546875" style="47" customWidth="1"/>
    <col min="3073" max="3073" width="7.85546875" style="47" customWidth="1"/>
    <col min="3074" max="3074" width="25.5703125" style="47" bestFit="1" customWidth="1"/>
    <col min="3075" max="3077" width="6" style="47" customWidth="1"/>
    <col min="3078" max="3079" width="12.85546875" style="47" customWidth="1"/>
    <col min="3080" max="3080" width="20" style="47" customWidth="1"/>
    <col min="3081" max="3327" width="8.85546875" style="47"/>
    <col min="3328" max="3328" width="1.85546875" style="47" customWidth="1"/>
    <col min="3329" max="3329" width="7.85546875" style="47" customWidth="1"/>
    <col min="3330" max="3330" width="25.5703125" style="47" bestFit="1" customWidth="1"/>
    <col min="3331" max="3333" width="6" style="47" customWidth="1"/>
    <col min="3334" max="3335" width="12.85546875" style="47" customWidth="1"/>
    <col min="3336" max="3336" width="20" style="47" customWidth="1"/>
    <col min="3337" max="3583" width="8.85546875" style="47"/>
    <col min="3584" max="3584" width="1.85546875" style="47" customWidth="1"/>
    <col min="3585" max="3585" width="7.85546875" style="47" customWidth="1"/>
    <col min="3586" max="3586" width="25.5703125" style="47" bestFit="1" customWidth="1"/>
    <col min="3587" max="3589" width="6" style="47" customWidth="1"/>
    <col min="3590" max="3591" width="12.85546875" style="47" customWidth="1"/>
    <col min="3592" max="3592" width="20" style="47" customWidth="1"/>
    <col min="3593" max="3839" width="8.85546875" style="47"/>
    <col min="3840" max="3840" width="1.85546875" style="47" customWidth="1"/>
    <col min="3841" max="3841" width="7.85546875" style="47" customWidth="1"/>
    <col min="3842" max="3842" width="25.5703125" style="47" bestFit="1" customWidth="1"/>
    <col min="3843" max="3845" width="6" style="47" customWidth="1"/>
    <col min="3846" max="3847" width="12.85546875" style="47" customWidth="1"/>
    <col min="3848" max="3848" width="20" style="47" customWidth="1"/>
    <col min="3849" max="4095" width="8.85546875" style="47"/>
    <col min="4096" max="4096" width="1.85546875" style="47" customWidth="1"/>
    <col min="4097" max="4097" width="7.85546875" style="47" customWidth="1"/>
    <col min="4098" max="4098" width="25.5703125" style="47" bestFit="1" customWidth="1"/>
    <col min="4099" max="4101" width="6" style="47" customWidth="1"/>
    <col min="4102" max="4103" width="12.85546875" style="47" customWidth="1"/>
    <col min="4104" max="4104" width="20" style="47" customWidth="1"/>
    <col min="4105" max="4351" width="8.85546875" style="47"/>
    <col min="4352" max="4352" width="1.85546875" style="47" customWidth="1"/>
    <col min="4353" max="4353" width="7.85546875" style="47" customWidth="1"/>
    <col min="4354" max="4354" width="25.5703125" style="47" bestFit="1" customWidth="1"/>
    <col min="4355" max="4357" width="6" style="47" customWidth="1"/>
    <col min="4358" max="4359" width="12.85546875" style="47" customWidth="1"/>
    <col min="4360" max="4360" width="20" style="47" customWidth="1"/>
    <col min="4361" max="4607" width="8.85546875" style="47"/>
    <col min="4608" max="4608" width="1.85546875" style="47" customWidth="1"/>
    <col min="4609" max="4609" width="7.85546875" style="47" customWidth="1"/>
    <col min="4610" max="4610" width="25.5703125" style="47" bestFit="1" customWidth="1"/>
    <col min="4611" max="4613" width="6" style="47" customWidth="1"/>
    <col min="4614" max="4615" width="12.85546875" style="47" customWidth="1"/>
    <col min="4616" max="4616" width="20" style="47" customWidth="1"/>
    <col min="4617" max="4863" width="8.85546875" style="47"/>
    <col min="4864" max="4864" width="1.85546875" style="47" customWidth="1"/>
    <col min="4865" max="4865" width="7.85546875" style="47" customWidth="1"/>
    <col min="4866" max="4866" width="25.5703125" style="47" bestFit="1" customWidth="1"/>
    <col min="4867" max="4869" width="6" style="47" customWidth="1"/>
    <col min="4870" max="4871" width="12.85546875" style="47" customWidth="1"/>
    <col min="4872" max="4872" width="20" style="47" customWidth="1"/>
    <col min="4873" max="5119" width="8.85546875" style="47"/>
    <col min="5120" max="5120" width="1.85546875" style="47" customWidth="1"/>
    <col min="5121" max="5121" width="7.85546875" style="47" customWidth="1"/>
    <col min="5122" max="5122" width="25.5703125" style="47" bestFit="1" customWidth="1"/>
    <col min="5123" max="5125" width="6" style="47" customWidth="1"/>
    <col min="5126" max="5127" width="12.85546875" style="47" customWidth="1"/>
    <col min="5128" max="5128" width="20" style="47" customWidth="1"/>
    <col min="5129" max="5375" width="8.85546875" style="47"/>
    <col min="5376" max="5376" width="1.85546875" style="47" customWidth="1"/>
    <col min="5377" max="5377" width="7.85546875" style="47" customWidth="1"/>
    <col min="5378" max="5378" width="25.5703125" style="47" bestFit="1" customWidth="1"/>
    <col min="5379" max="5381" width="6" style="47" customWidth="1"/>
    <col min="5382" max="5383" width="12.85546875" style="47" customWidth="1"/>
    <col min="5384" max="5384" width="20" style="47" customWidth="1"/>
    <col min="5385" max="5631" width="8.85546875" style="47"/>
    <col min="5632" max="5632" width="1.85546875" style="47" customWidth="1"/>
    <col min="5633" max="5633" width="7.85546875" style="47" customWidth="1"/>
    <col min="5634" max="5634" width="25.5703125" style="47" bestFit="1" customWidth="1"/>
    <col min="5635" max="5637" width="6" style="47" customWidth="1"/>
    <col min="5638" max="5639" width="12.85546875" style="47" customWidth="1"/>
    <col min="5640" max="5640" width="20" style="47" customWidth="1"/>
    <col min="5641" max="5887" width="8.85546875" style="47"/>
    <col min="5888" max="5888" width="1.85546875" style="47" customWidth="1"/>
    <col min="5889" max="5889" width="7.85546875" style="47" customWidth="1"/>
    <col min="5890" max="5890" width="25.5703125" style="47" bestFit="1" customWidth="1"/>
    <col min="5891" max="5893" width="6" style="47" customWidth="1"/>
    <col min="5894" max="5895" width="12.85546875" style="47" customWidth="1"/>
    <col min="5896" max="5896" width="20" style="47" customWidth="1"/>
    <col min="5897" max="6143" width="8.85546875" style="47"/>
    <col min="6144" max="6144" width="1.85546875" style="47" customWidth="1"/>
    <col min="6145" max="6145" width="7.85546875" style="47" customWidth="1"/>
    <col min="6146" max="6146" width="25.5703125" style="47" bestFit="1" customWidth="1"/>
    <col min="6147" max="6149" width="6" style="47" customWidth="1"/>
    <col min="6150" max="6151" width="12.85546875" style="47" customWidth="1"/>
    <col min="6152" max="6152" width="20" style="47" customWidth="1"/>
    <col min="6153" max="6399" width="8.85546875" style="47"/>
    <col min="6400" max="6400" width="1.85546875" style="47" customWidth="1"/>
    <col min="6401" max="6401" width="7.85546875" style="47" customWidth="1"/>
    <col min="6402" max="6402" width="25.5703125" style="47" bestFit="1" customWidth="1"/>
    <col min="6403" max="6405" width="6" style="47" customWidth="1"/>
    <col min="6406" max="6407" width="12.85546875" style="47" customWidth="1"/>
    <col min="6408" max="6408" width="20" style="47" customWidth="1"/>
    <col min="6409" max="6655" width="8.85546875" style="47"/>
    <col min="6656" max="6656" width="1.85546875" style="47" customWidth="1"/>
    <col min="6657" max="6657" width="7.85546875" style="47" customWidth="1"/>
    <col min="6658" max="6658" width="25.5703125" style="47" bestFit="1" customWidth="1"/>
    <col min="6659" max="6661" width="6" style="47" customWidth="1"/>
    <col min="6662" max="6663" width="12.85546875" style="47" customWidth="1"/>
    <col min="6664" max="6664" width="20" style="47" customWidth="1"/>
    <col min="6665" max="6911" width="8.85546875" style="47"/>
    <col min="6912" max="6912" width="1.85546875" style="47" customWidth="1"/>
    <col min="6913" max="6913" width="7.85546875" style="47" customWidth="1"/>
    <col min="6914" max="6914" width="25.5703125" style="47" bestFit="1" customWidth="1"/>
    <col min="6915" max="6917" width="6" style="47" customWidth="1"/>
    <col min="6918" max="6919" width="12.85546875" style="47" customWidth="1"/>
    <col min="6920" max="6920" width="20" style="47" customWidth="1"/>
    <col min="6921" max="7167" width="8.85546875" style="47"/>
    <col min="7168" max="7168" width="1.85546875" style="47" customWidth="1"/>
    <col min="7169" max="7169" width="7.85546875" style="47" customWidth="1"/>
    <col min="7170" max="7170" width="25.5703125" style="47" bestFit="1" customWidth="1"/>
    <col min="7171" max="7173" width="6" style="47" customWidth="1"/>
    <col min="7174" max="7175" width="12.85546875" style="47" customWidth="1"/>
    <col min="7176" max="7176" width="20" style="47" customWidth="1"/>
    <col min="7177" max="7423" width="8.85546875" style="47"/>
    <col min="7424" max="7424" width="1.85546875" style="47" customWidth="1"/>
    <col min="7425" max="7425" width="7.85546875" style="47" customWidth="1"/>
    <col min="7426" max="7426" width="25.5703125" style="47" bestFit="1" customWidth="1"/>
    <col min="7427" max="7429" width="6" style="47" customWidth="1"/>
    <col min="7430" max="7431" width="12.85546875" style="47" customWidth="1"/>
    <col min="7432" max="7432" width="20" style="47" customWidth="1"/>
    <col min="7433" max="7679" width="8.85546875" style="47"/>
    <col min="7680" max="7680" width="1.85546875" style="47" customWidth="1"/>
    <col min="7681" max="7681" width="7.85546875" style="47" customWidth="1"/>
    <col min="7682" max="7682" width="25.5703125" style="47" bestFit="1" customWidth="1"/>
    <col min="7683" max="7685" width="6" style="47" customWidth="1"/>
    <col min="7686" max="7687" width="12.85546875" style="47" customWidth="1"/>
    <col min="7688" max="7688" width="20" style="47" customWidth="1"/>
    <col min="7689" max="7935" width="8.85546875" style="47"/>
    <col min="7936" max="7936" width="1.85546875" style="47" customWidth="1"/>
    <col min="7937" max="7937" width="7.85546875" style="47" customWidth="1"/>
    <col min="7938" max="7938" width="25.5703125" style="47" bestFit="1" customWidth="1"/>
    <col min="7939" max="7941" width="6" style="47" customWidth="1"/>
    <col min="7942" max="7943" width="12.85546875" style="47" customWidth="1"/>
    <col min="7944" max="7944" width="20" style="47" customWidth="1"/>
    <col min="7945" max="8191" width="8.85546875" style="47"/>
    <col min="8192" max="8192" width="1.85546875" style="47" customWidth="1"/>
    <col min="8193" max="8193" width="7.85546875" style="47" customWidth="1"/>
    <col min="8194" max="8194" width="25.5703125" style="47" bestFit="1" customWidth="1"/>
    <col min="8195" max="8197" width="6" style="47" customWidth="1"/>
    <col min="8198" max="8199" width="12.85546875" style="47" customWidth="1"/>
    <col min="8200" max="8200" width="20" style="47" customWidth="1"/>
    <col min="8201" max="8447" width="8.85546875" style="47"/>
    <col min="8448" max="8448" width="1.85546875" style="47" customWidth="1"/>
    <col min="8449" max="8449" width="7.85546875" style="47" customWidth="1"/>
    <col min="8450" max="8450" width="25.5703125" style="47" bestFit="1" customWidth="1"/>
    <col min="8451" max="8453" width="6" style="47" customWidth="1"/>
    <col min="8454" max="8455" width="12.85546875" style="47" customWidth="1"/>
    <col min="8456" max="8456" width="20" style="47" customWidth="1"/>
    <col min="8457" max="8703" width="8.85546875" style="47"/>
    <col min="8704" max="8704" width="1.85546875" style="47" customWidth="1"/>
    <col min="8705" max="8705" width="7.85546875" style="47" customWidth="1"/>
    <col min="8706" max="8706" width="25.5703125" style="47" bestFit="1" customWidth="1"/>
    <col min="8707" max="8709" width="6" style="47" customWidth="1"/>
    <col min="8710" max="8711" width="12.85546875" style="47" customWidth="1"/>
    <col min="8712" max="8712" width="20" style="47" customWidth="1"/>
    <col min="8713" max="8959" width="8.85546875" style="47"/>
    <col min="8960" max="8960" width="1.85546875" style="47" customWidth="1"/>
    <col min="8961" max="8961" width="7.85546875" style="47" customWidth="1"/>
    <col min="8962" max="8962" width="25.5703125" style="47" bestFit="1" customWidth="1"/>
    <col min="8963" max="8965" width="6" style="47" customWidth="1"/>
    <col min="8966" max="8967" width="12.85546875" style="47" customWidth="1"/>
    <col min="8968" max="8968" width="20" style="47" customWidth="1"/>
    <col min="8969" max="9215" width="8.85546875" style="47"/>
    <col min="9216" max="9216" width="1.85546875" style="47" customWidth="1"/>
    <col min="9217" max="9217" width="7.85546875" style="47" customWidth="1"/>
    <col min="9218" max="9218" width="25.5703125" style="47" bestFit="1" customWidth="1"/>
    <col min="9219" max="9221" width="6" style="47" customWidth="1"/>
    <col min="9222" max="9223" width="12.85546875" style="47" customWidth="1"/>
    <col min="9224" max="9224" width="20" style="47" customWidth="1"/>
    <col min="9225" max="9471" width="8.85546875" style="47"/>
    <col min="9472" max="9472" width="1.85546875" style="47" customWidth="1"/>
    <col min="9473" max="9473" width="7.85546875" style="47" customWidth="1"/>
    <col min="9474" max="9474" width="25.5703125" style="47" bestFit="1" customWidth="1"/>
    <col min="9475" max="9477" width="6" style="47" customWidth="1"/>
    <col min="9478" max="9479" width="12.85546875" style="47" customWidth="1"/>
    <col min="9480" max="9480" width="20" style="47" customWidth="1"/>
    <col min="9481" max="9727" width="8.85546875" style="47"/>
    <col min="9728" max="9728" width="1.85546875" style="47" customWidth="1"/>
    <col min="9729" max="9729" width="7.85546875" style="47" customWidth="1"/>
    <col min="9730" max="9730" width="25.5703125" style="47" bestFit="1" customWidth="1"/>
    <col min="9731" max="9733" width="6" style="47" customWidth="1"/>
    <col min="9734" max="9735" width="12.85546875" style="47" customWidth="1"/>
    <col min="9736" max="9736" width="20" style="47" customWidth="1"/>
    <col min="9737" max="9983" width="8.85546875" style="47"/>
    <col min="9984" max="9984" width="1.85546875" style="47" customWidth="1"/>
    <col min="9985" max="9985" width="7.85546875" style="47" customWidth="1"/>
    <col min="9986" max="9986" width="25.5703125" style="47" bestFit="1" customWidth="1"/>
    <col min="9987" max="9989" width="6" style="47" customWidth="1"/>
    <col min="9990" max="9991" width="12.85546875" style="47" customWidth="1"/>
    <col min="9992" max="9992" width="20" style="47" customWidth="1"/>
    <col min="9993" max="10239" width="8.85546875" style="47"/>
    <col min="10240" max="10240" width="1.85546875" style="47" customWidth="1"/>
    <col min="10241" max="10241" width="7.85546875" style="47" customWidth="1"/>
    <col min="10242" max="10242" width="25.5703125" style="47" bestFit="1" customWidth="1"/>
    <col min="10243" max="10245" width="6" style="47" customWidth="1"/>
    <col min="10246" max="10247" width="12.85546875" style="47" customWidth="1"/>
    <col min="10248" max="10248" width="20" style="47" customWidth="1"/>
    <col min="10249" max="10495" width="8.85546875" style="47"/>
    <col min="10496" max="10496" width="1.85546875" style="47" customWidth="1"/>
    <col min="10497" max="10497" width="7.85546875" style="47" customWidth="1"/>
    <col min="10498" max="10498" width="25.5703125" style="47" bestFit="1" customWidth="1"/>
    <col min="10499" max="10501" width="6" style="47" customWidth="1"/>
    <col min="10502" max="10503" width="12.85546875" style="47" customWidth="1"/>
    <col min="10504" max="10504" width="20" style="47" customWidth="1"/>
    <col min="10505" max="10751" width="8.85546875" style="47"/>
    <col min="10752" max="10752" width="1.85546875" style="47" customWidth="1"/>
    <col min="10753" max="10753" width="7.85546875" style="47" customWidth="1"/>
    <col min="10754" max="10754" width="25.5703125" style="47" bestFit="1" customWidth="1"/>
    <col min="10755" max="10757" width="6" style="47" customWidth="1"/>
    <col min="10758" max="10759" width="12.85546875" style="47" customWidth="1"/>
    <col min="10760" max="10760" width="20" style="47" customWidth="1"/>
    <col min="10761" max="11007" width="8.85546875" style="47"/>
    <col min="11008" max="11008" width="1.85546875" style="47" customWidth="1"/>
    <col min="11009" max="11009" width="7.85546875" style="47" customWidth="1"/>
    <col min="11010" max="11010" width="25.5703125" style="47" bestFit="1" customWidth="1"/>
    <col min="11011" max="11013" width="6" style="47" customWidth="1"/>
    <col min="11014" max="11015" width="12.85546875" style="47" customWidth="1"/>
    <col min="11016" max="11016" width="20" style="47" customWidth="1"/>
    <col min="11017" max="11263" width="8.85546875" style="47"/>
    <col min="11264" max="11264" width="1.85546875" style="47" customWidth="1"/>
    <col min="11265" max="11265" width="7.85546875" style="47" customWidth="1"/>
    <col min="11266" max="11266" width="25.5703125" style="47" bestFit="1" customWidth="1"/>
    <col min="11267" max="11269" width="6" style="47" customWidth="1"/>
    <col min="11270" max="11271" width="12.85546875" style="47" customWidth="1"/>
    <col min="11272" max="11272" width="20" style="47" customWidth="1"/>
    <col min="11273" max="11519" width="8.85546875" style="47"/>
    <col min="11520" max="11520" width="1.85546875" style="47" customWidth="1"/>
    <col min="11521" max="11521" width="7.85546875" style="47" customWidth="1"/>
    <col min="11522" max="11522" width="25.5703125" style="47" bestFit="1" customWidth="1"/>
    <col min="11523" max="11525" width="6" style="47" customWidth="1"/>
    <col min="11526" max="11527" width="12.85546875" style="47" customWidth="1"/>
    <col min="11528" max="11528" width="20" style="47" customWidth="1"/>
    <col min="11529" max="11775" width="8.85546875" style="47"/>
    <col min="11776" max="11776" width="1.85546875" style="47" customWidth="1"/>
    <col min="11777" max="11777" width="7.85546875" style="47" customWidth="1"/>
    <col min="11778" max="11778" width="25.5703125" style="47" bestFit="1" customWidth="1"/>
    <col min="11779" max="11781" width="6" style="47" customWidth="1"/>
    <col min="11782" max="11783" width="12.85546875" style="47" customWidth="1"/>
    <col min="11784" max="11784" width="20" style="47" customWidth="1"/>
    <col min="11785" max="12031" width="8.85546875" style="47"/>
    <col min="12032" max="12032" width="1.85546875" style="47" customWidth="1"/>
    <col min="12033" max="12033" width="7.85546875" style="47" customWidth="1"/>
    <col min="12034" max="12034" width="25.5703125" style="47" bestFit="1" customWidth="1"/>
    <col min="12035" max="12037" width="6" style="47" customWidth="1"/>
    <col min="12038" max="12039" width="12.85546875" style="47" customWidth="1"/>
    <col min="12040" max="12040" width="20" style="47" customWidth="1"/>
    <col min="12041" max="12287" width="8.85546875" style="47"/>
    <col min="12288" max="12288" width="1.85546875" style="47" customWidth="1"/>
    <col min="12289" max="12289" width="7.85546875" style="47" customWidth="1"/>
    <col min="12290" max="12290" width="25.5703125" style="47" bestFit="1" customWidth="1"/>
    <col min="12291" max="12293" width="6" style="47" customWidth="1"/>
    <col min="12294" max="12295" width="12.85546875" style="47" customWidth="1"/>
    <col min="12296" max="12296" width="20" style="47" customWidth="1"/>
    <col min="12297" max="12543" width="8.85546875" style="47"/>
    <col min="12544" max="12544" width="1.85546875" style="47" customWidth="1"/>
    <col min="12545" max="12545" width="7.85546875" style="47" customWidth="1"/>
    <col min="12546" max="12546" width="25.5703125" style="47" bestFit="1" customWidth="1"/>
    <col min="12547" max="12549" width="6" style="47" customWidth="1"/>
    <col min="12550" max="12551" width="12.85546875" style="47" customWidth="1"/>
    <col min="12552" max="12552" width="20" style="47" customWidth="1"/>
    <col min="12553" max="12799" width="8.85546875" style="47"/>
    <col min="12800" max="12800" width="1.85546875" style="47" customWidth="1"/>
    <col min="12801" max="12801" width="7.85546875" style="47" customWidth="1"/>
    <col min="12802" max="12802" width="25.5703125" style="47" bestFit="1" customWidth="1"/>
    <col min="12803" max="12805" width="6" style="47" customWidth="1"/>
    <col min="12806" max="12807" width="12.85546875" style="47" customWidth="1"/>
    <col min="12808" max="12808" width="20" style="47" customWidth="1"/>
    <col min="12809" max="13055" width="8.85546875" style="47"/>
    <col min="13056" max="13056" width="1.85546875" style="47" customWidth="1"/>
    <col min="13057" max="13057" width="7.85546875" style="47" customWidth="1"/>
    <col min="13058" max="13058" width="25.5703125" style="47" bestFit="1" customWidth="1"/>
    <col min="13059" max="13061" width="6" style="47" customWidth="1"/>
    <col min="13062" max="13063" width="12.85546875" style="47" customWidth="1"/>
    <col min="13064" max="13064" width="20" style="47" customWidth="1"/>
    <col min="13065" max="13311" width="8.85546875" style="47"/>
    <col min="13312" max="13312" width="1.85546875" style="47" customWidth="1"/>
    <col min="13313" max="13313" width="7.85546875" style="47" customWidth="1"/>
    <col min="13314" max="13314" width="25.5703125" style="47" bestFit="1" customWidth="1"/>
    <col min="13315" max="13317" width="6" style="47" customWidth="1"/>
    <col min="13318" max="13319" width="12.85546875" style="47" customWidth="1"/>
    <col min="13320" max="13320" width="20" style="47" customWidth="1"/>
    <col min="13321" max="13567" width="8.85546875" style="47"/>
    <col min="13568" max="13568" width="1.85546875" style="47" customWidth="1"/>
    <col min="13569" max="13569" width="7.85546875" style="47" customWidth="1"/>
    <col min="13570" max="13570" width="25.5703125" style="47" bestFit="1" customWidth="1"/>
    <col min="13571" max="13573" width="6" style="47" customWidth="1"/>
    <col min="13574" max="13575" width="12.85546875" style="47" customWidth="1"/>
    <col min="13576" max="13576" width="20" style="47" customWidth="1"/>
    <col min="13577" max="13823" width="8.85546875" style="47"/>
    <col min="13824" max="13824" width="1.85546875" style="47" customWidth="1"/>
    <col min="13825" max="13825" width="7.85546875" style="47" customWidth="1"/>
    <col min="13826" max="13826" width="25.5703125" style="47" bestFit="1" customWidth="1"/>
    <col min="13827" max="13829" width="6" style="47" customWidth="1"/>
    <col min="13830" max="13831" width="12.85546875" style="47" customWidth="1"/>
    <col min="13832" max="13832" width="20" style="47" customWidth="1"/>
    <col min="13833" max="14079" width="8.85546875" style="47"/>
    <col min="14080" max="14080" width="1.85546875" style="47" customWidth="1"/>
    <col min="14081" max="14081" width="7.85546875" style="47" customWidth="1"/>
    <col min="14082" max="14082" width="25.5703125" style="47" bestFit="1" customWidth="1"/>
    <col min="14083" max="14085" width="6" style="47" customWidth="1"/>
    <col min="14086" max="14087" width="12.85546875" style="47" customWidth="1"/>
    <col min="14088" max="14088" width="20" style="47" customWidth="1"/>
    <col min="14089" max="14335" width="8.85546875" style="47"/>
    <col min="14336" max="14336" width="1.85546875" style="47" customWidth="1"/>
    <col min="14337" max="14337" width="7.85546875" style="47" customWidth="1"/>
    <col min="14338" max="14338" width="25.5703125" style="47" bestFit="1" customWidth="1"/>
    <col min="14339" max="14341" width="6" style="47" customWidth="1"/>
    <col min="14342" max="14343" width="12.85546875" style="47" customWidth="1"/>
    <col min="14344" max="14344" width="20" style="47" customWidth="1"/>
    <col min="14345" max="14591" width="8.85546875" style="47"/>
    <col min="14592" max="14592" width="1.85546875" style="47" customWidth="1"/>
    <col min="14593" max="14593" width="7.85546875" style="47" customWidth="1"/>
    <col min="14594" max="14594" width="25.5703125" style="47" bestFit="1" customWidth="1"/>
    <col min="14595" max="14597" width="6" style="47" customWidth="1"/>
    <col min="14598" max="14599" width="12.85546875" style="47" customWidth="1"/>
    <col min="14600" max="14600" width="20" style="47" customWidth="1"/>
    <col min="14601" max="14847" width="8.85546875" style="47"/>
    <col min="14848" max="14848" width="1.85546875" style="47" customWidth="1"/>
    <col min="14849" max="14849" width="7.85546875" style="47" customWidth="1"/>
    <col min="14850" max="14850" width="25.5703125" style="47" bestFit="1" customWidth="1"/>
    <col min="14851" max="14853" width="6" style="47" customWidth="1"/>
    <col min="14854" max="14855" width="12.85546875" style="47" customWidth="1"/>
    <col min="14856" max="14856" width="20" style="47" customWidth="1"/>
    <col min="14857" max="15103" width="8.85546875" style="47"/>
    <col min="15104" max="15104" width="1.85546875" style="47" customWidth="1"/>
    <col min="15105" max="15105" width="7.85546875" style="47" customWidth="1"/>
    <col min="15106" max="15106" width="25.5703125" style="47" bestFit="1" customWidth="1"/>
    <col min="15107" max="15109" width="6" style="47" customWidth="1"/>
    <col min="15110" max="15111" width="12.85546875" style="47" customWidth="1"/>
    <col min="15112" max="15112" width="20" style="47" customWidth="1"/>
    <col min="15113" max="15359" width="8.85546875" style="47"/>
    <col min="15360" max="15360" width="1.85546875" style="47" customWidth="1"/>
    <col min="15361" max="15361" width="7.85546875" style="47" customWidth="1"/>
    <col min="15362" max="15362" width="25.5703125" style="47" bestFit="1" customWidth="1"/>
    <col min="15363" max="15365" width="6" style="47" customWidth="1"/>
    <col min="15366" max="15367" width="12.85546875" style="47" customWidth="1"/>
    <col min="15368" max="15368" width="20" style="47" customWidth="1"/>
    <col min="15369" max="15615" width="8.85546875" style="47"/>
    <col min="15616" max="15616" width="1.85546875" style="47" customWidth="1"/>
    <col min="15617" max="15617" width="7.85546875" style="47" customWidth="1"/>
    <col min="15618" max="15618" width="25.5703125" style="47" bestFit="1" customWidth="1"/>
    <col min="15619" max="15621" width="6" style="47" customWidth="1"/>
    <col min="15622" max="15623" width="12.85546875" style="47" customWidth="1"/>
    <col min="15624" max="15624" width="20" style="47" customWidth="1"/>
    <col min="15625" max="15871" width="8.85546875" style="47"/>
    <col min="15872" max="15872" width="1.85546875" style="47" customWidth="1"/>
    <col min="15873" max="15873" width="7.85546875" style="47" customWidth="1"/>
    <col min="15874" max="15874" width="25.5703125" style="47" bestFit="1" customWidth="1"/>
    <col min="15875" max="15877" width="6" style="47" customWidth="1"/>
    <col min="15878" max="15879" width="12.85546875" style="47" customWidth="1"/>
    <col min="15880" max="15880" width="20" style="47" customWidth="1"/>
    <col min="15881" max="16127" width="8.85546875" style="47"/>
    <col min="16128" max="16128" width="1.85546875" style="47" customWidth="1"/>
    <col min="16129" max="16129" width="7.85546875" style="47" customWidth="1"/>
    <col min="16130" max="16130" width="25.5703125" style="47" bestFit="1" customWidth="1"/>
    <col min="16131" max="16133" width="6" style="47" customWidth="1"/>
    <col min="16134" max="16135" width="12.85546875" style="47" customWidth="1"/>
    <col min="16136" max="16136" width="20" style="47" customWidth="1"/>
    <col min="16137" max="16384" width="8.85546875" style="47"/>
  </cols>
  <sheetData>
    <row r="2" spans="1:8" s="49" customFormat="1" x14ac:dyDescent="0.25">
      <c r="B2" s="456" t="s">
        <v>80</v>
      </c>
      <c r="C2" s="456"/>
      <c r="D2" s="456"/>
      <c r="E2" s="456"/>
      <c r="F2" s="456"/>
      <c r="G2" s="456"/>
      <c r="H2" s="456"/>
    </row>
    <row r="3" spans="1:8" s="50" customFormat="1" x14ac:dyDescent="0.2">
      <c r="B3" s="51" t="s">
        <v>81</v>
      </c>
      <c r="C3" s="51" t="s">
        <v>82</v>
      </c>
      <c r="D3" s="457" t="s">
        <v>83</v>
      </c>
      <c r="E3" s="458"/>
      <c r="F3" s="459"/>
      <c r="G3" s="51" t="s">
        <v>84</v>
      </c>
      <c r="H3" s="51" t="s">
        <v>85</v>
      </c>
    </row>
    <row r="4" spans="1:8" s="49" customFormat="1" x14ac:dyDescent="0.25">
      <c r="B4" s="52">
        <v>1</v>
      </c>
      <c r="C4" s="53" t="s">
        <v>86</v>
      </c>
      <c r="D4" s="52">
        <v>180</v>
      </c>
      <c r="E4" s="52" t="s">
        <v>87</v>
      </c>
      <c r="F4" s="52">
        <v>360</v>
      </c>
      <c r="G4" s="52">
        <v>11000</v>
      </c>
      <c r="H4" s="70">
        <f t="shared" ref="H4:H13" si="0">G4*F4</f>
        <v>3960000</v>
      </c>
    </row>
    <row r="5" spans="1:8" s="49" customFormat="1" x14ac:dyDescent="0.25">
      <c r="B5" s="52">
        <f>B4+1</f>
        <v>2</v>
      </c>
      <c r="C5" s="53" t="s">
        <v>88</v>
      </c>
      <c r="D5" s="52">
        <v>50</v>
      </c>
      <c r="E5" s="54" t="s">
        <v>89</v>
      </c>
      <c r="F5" s="53">
        <v>5000</v>
      </c>
      <c r="G5" s="52">
        <v>11000</v>
      </c>
      <c r="H5" s="70">
        <f t="shared" si="0"/>
        <v>55000000</v>
      </c>
    </row>
    <row r="6" spans="1:8" s="49" customFormat="1" x14ac:dyDescent="0.25">
      <c r="B6" s="52">
        <f t="shared" ref="B6:B14" si="1">B5+1</f>
        <v>3</v>
      </c>
      <c r="C6" s="53" t="s">
        <v>90</v>
      </c>
      <c r="D6" s="52">
        <v>39</v>
      </c>
      <c r="E6" s="52">
        <v>50</v>
      </c>
      <c r="F6" s="53">
        <f>E6*D6</f>
        <v>1950</v>
      </c>
      <c r="G6" s="52">
        <v>11000</v>
      </c>
      <c r="H6" s="70">
        <f t="shared" si="0"/>
        <v>21450000</v>
      </c>
    </row>
    <row r="7" spans="1:8" s="49" customFormat="1" x14ac:dyDescent="0.25">
      <c r="B7" s="52">
        <f t="shared" si="1"/>
        <v>4</v>
      </c>
      <c r="C7" s="53" t="s">
        <v>91</v>
      </c>
      <c r="D7" s="52">
        <v>4</v>
      </c>
      <c r="E7" s="52">
        <v>5</v>
      </c>
      <c r="F7" s="53">
        <f>D7*E7</f>
        <v>20</v>
      </c>
      <c r="G7" s="52">
        <v>9500</v>
      </c>
      <c r="H7" s="70">
        <f t="shared" si="0"/>
        <v>190000</v>
      </c>
    </row>
    <row r="8" spans="1:8" s="49" customFormat="1" x14ac:dyDescent="0.25">
      <c r="B8" s="52">
        <f t="shared" si="1"/>
        <v>5</v>
      </c>
      <c r="C8" s="53" t="s">
        <v>92</v>
      </c>
      <c r="D8" s="52">
        <v>4</v>
      </c>
      <c r="E8" s="52">
        <v>5</v>
      </c>
      <c r="F8" s="53">
        <f>D8*E8</f>
        <v>20</v>
      </c>
      <c r="G8" s="52">
        <v>9500</v>
      </c>
      <c r="H8" s="70">
        <f t="shared" si="0"/>
        <v>190000</v>
      </c>
    </row>
    <row r="9" spans="1:8" s="49" customFormat="1" x14ac:dyDescent="0.25">
      <c r="B9" s="52">
        <f t="shared" si="1"/>
        <v>6</v>
      </c>
      <c r="C9" s="53" t="s">
        <v>93</v>
      </c>
      <c r="D9" s="52">
        <v>10</v>
      </c>
      <c r="E9" s="52">
        <v>6</v>
      </c>
      <c r="F9" s="53">
        <f>D9*E9</f>
        <v>60</v>
      </c>
      <c r="G9" s="52">
        <v>9500</v>
      </c>
      <c r="H9" s="70">
        <f t="shared" si="0"/>
        <v>570000</v>
      </c>
    </row>
    <row r="10" spans="1:8" s="49" customFormat="1" x14ac:dyDescent="0.25">
      <c r="B10" s="52">
        <f t="shared" si="1"/>
        <v>7</v>
      </c>
      <c r="C10" s="53" t="s">
        <v>94</v>
      </c>
      <c r="D10" s="52">
        <v>10</v>
      </c>
      <c r="E10" s="52">
        <v>8</v>
      </c>
      <c r="F10" s="53">
        <f>D10*E10</f>
        <v>80</v>
      </c>
      <c r="G10" s="52">
        <v>10000</v>
      </c>
      <c r="H10" s="70">
        <f t="shared" si="0"/>
        <v>800000</v>
      </c>
    </row>
    <row r="11" spans="1:8" s="49" customFormat="1" x14ac:dyDescent="0.25">
      <c r="B11" s="52">
        <f t="shared" si="1"/>
        <v>8</v>
      </c>
      <c r="C11" s="53" t="s">
        <v>95</v>
      </c>
      <c r="D11" s="52">
        <v>12</v>
      </c>
      <c r="E11" s="52">
        <v>8.5</v>
      </c>
      <c r="F11" s="53">
        <f>D11*E11</f>
        <v>102</v>
      </c>
      <c r="G11" s="52">
        <v>10000</v>
      </c>
      <c r="H11" s="70">
        <f t="shared" si="0"/>
        <v>1020000</v>
      </c>
    </row>
    <row r="12" spans="1:8" s="49" customFormat="1" x14ac:dyDescent="0.25">
      <c r="B12" s="52">
        <f t="shared" si="1"/>
        <v>9</v>
      </c>
      <c r="C12" s="53" t="s">
        <v>96</v>
      </c>
      <c r="D12" s="52">
        <v>12</v>
      </c>
      <c r="E12" s="52">
        <v>20</v>
      </c>
      <c r="F12" s="53">
        <v>240</v>
      </c>
      <c r="G12" s="52">
        <v>10000</v>
      </c>
      <c r="H12" s="70">
        <f t="shared" si="0"/>
        <v>2400000</v>
      </c>
    </row>
    <row r="13" spans="1:8" s="49" customFormat="1" x14ac:dyDescent="0.25">
      <c r="B13" s="52">
        <f t="shared" si="1"/>
        <v>10</v>
      </c>
      <c r="C13" s="53" t="s">
        <v>97</v>
      </c>
      <c r="D13" s="52">
        <v>12</v>
      </c>
      <c r="E13" s="52">
        <v>15</v>
      </c>
      <c r="F13" s="53">
        <f>E13*D13</f>
        <v>180</v>
      </c>
      <c r="G13" s="52">
        <v>9500</v>
      </c>
      <c r="H13" s="70">
        <f t="shared" si="0"/>
        <v>1710000</v>
      </c>
    </row>
    <row r="14" spans="1:8" s="49" customFormat="1" x14ac:dyDescent="0.25">
      <c r="B14" s="52">
        <f t="shared" si="1"/>
        <v>11</v>
      </c>
      <c r="C14" s="53" t="s">
        <v>98</v>
      </c>
      <c r="D14" s="52">
        <v>12</v>
      </c>
      <c r="E14" s="52">
        <v>8</v>
      </c>
      <c r="F14" s="53">
        <f>E14*D14</f>
        <v>96</v>
      </c>
      <c r="G14" s="52">
        <v>9500</v>
      </c>
      <c r="H14" s="70">
        <f>G14*F14</f>
        <v>912000</v>
      </c>
    </row>
    <row r="15" spans="1:8" s="49" customFormat="1" x14ac:dyDescent="0.25">
      <c r="A15" s="49">
        <v>12</v>
      </c>
      <c r="B15" s="52">
        <v>12</v>
      </c>
      <c r="C15" s="55" t="s">
        <v>99</v>
      </c>
      <c r="D15" s="52"/>
      <c r="E15" s="52"/>
      <c r="F15" s="53"/>
      <c r="G15" s="52"/>
      <c r="H15" s="70">
        <v>1500000</v>
      </c>
    </row>
    <row r="16" spans="1:8" s="49" customFormat="1" x14ac:dyDescent="0.25">
      <c r="B16" s="52">
        <v>14</v>
      </c>
      <c r="C16" s="53" t="s">
        <v>100</v>
      </c>
      <c r="D16" s="52">
        <v>12</v>
      </c>
      <c r="E16" s="52">
        <v>15</v>
      </c>
      <c r="F16" s="53">
        <f>D16*E16</f>
        <v>180</v>
      </c>
      <c r="G16" s="52">
        <v>9500</v>
      </c>
      <c r="H16" s="70">
        <f>G16*F16</f>
        <v>1710000</v>
      </c>
    </row>
    <row r="17" spans="2:10" s="49" customFormat="1" x14ac:dyDescent="0.25">
      <c r="B17" s="52">
        <v>15</v>
      </c>
      <c r="C17" s="53" t="s">
        <v>101</v>
      </c>
      <c r="D17" s="52">
        <v>12</v>
      </c>
      <c r="E17" s="52">
        <v>8.5</v>
      </c>
      <c r="F17" s="53">
        <v>102</v>
      </c>
      <c r="G17" s="52">
        <v>9500</v>
      </c>
      <c r="H17" s="70">
        <f>G17*F17</f>
        <v>969000</v>
      </c>
    </row>
    <row r="18" spans="2:10" s="49" customFormat="1" x14ac:dyDescent="0.25">
      <c r="B18" s="52">
        <v>16</v>
      </c>
      <c r="C18" s="53" t="s">
        <v>102</v>
      </c>
      <c r="D18" s="52">
        <v>6</v>
      </c>
      <c r="E18" s="52">
        <v>0.15</v>
      </c>
      <c r="F18" s="53">
        <v>800</v>
      </c>
      <c r="G18" s="52">
        <v>8000</v>
      </c>
      <c r="H18" s="70">
        <f>G18*F18*E18*D18</f>
        <v>5760000</v>
      </c>
    </row>
    <row r="19" spans="2:10" s="49" customFormat="1" x14ac:dyDescent="0.25">
      <c r="B19" s="52">
        <v>17</v>
      </c>
      <c r="C19" s="53" t="s">
        <v>103</v>
      </c>
      <c r="D19" s="52">
        <v>0.6</v>
      </c>
      <c r="E19" s="52">
        <v>0.6</v>
      </c>
      <c r="F19" s="53">
        <v>1000</v>
      </c>
      <c r="G19" s="52">
        <v>7500</v>
      </c>
      <c r="H19" s="70">
        <f>D19*E19*F19*G19</f>
        <v>2700000</v>
      </c>
    </row>
    <row r="20" spans="2:10" s="49" customFormat="1" x14ac:dyDescent="0.25">
      <c r="B20" s="52">
        <v>18</v>
      </c>
      <c r="C20" s="53" t="s">
        <v>104</v>
      </c>
      <c r="D20" s="52">
        <v>0.9</v>
      </c>
      <c r="E20" s="52">
        <v>0.1</v>
      </c>
      <c r="F20" s="53">
        <v>1000</v>
      </c>
      <c r="G20" s="52">
        <v>8000</v>
      </c>
      <c r="H20" s="70">
        <f>D20*E20*F20*G20</f>
        <v>720000.00000000012</v>
      </c>
    </row>
    <row r="21" spans="2:10" s="49" customFormat="1" x14ac:dyDescent="0.25">
      <c r="B21" s="460" t="s">
        <v>105</v>
      </c>
      <c r="C21" s="461"/>
      <c r="D21" s="461"/>
      <c r="E21" s="461"/>
      <c r="F21" s="461"/>
      <c r="G21" s="462"/>
      <c r="H21" s="71">
        <f>SUM(H4:H20)</f>
        <v>101561000</v>
      </c>
      <c r="J21" s="56"/>
    </row>
    <row r="22" spans="2:10" x14ac:dyDescent="0.2">
      <c r="B22" s="457" t="s">
        <v>106</v>
      </c>
      <c r="C22" s="458"/>
      <c r="D22" s="458"/>
      <c r="E22" s="458"/>
      <c r="F22" s="458"/>
      <c r="G22" s="459"/>
      <c r="H22" s="57">
        <f>ROUND(H21/10^7,2)</f>
        <v>10.16</v>
      </c>
    </row>
  </sheetData>
  <mergeCells count="4">
    <mergeCell ref="B2:H2"/>
    <mergeCell ref="D3:F3"/>
    <mergeCell ref="B21:G21"/>
    <mergeCell ref="B22:G22"/>
  </mergeCells>
  <pageMargins left="0" right="0" top="0" bottom="0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7" tint="0.79998168889431442"/>
  </sheetPr>
  <dimension ref="B3:F42"/>
  <sheetViews>
    <sheetView zoomScaleNormal="100" zoomScaleSheetLayoutView="80" workbookViewId="0">
      <pane ySplit="2" topLeftCell="A27" activePane="bottomLeft" state="frozen"/>
      <selection activeCell="D16" sqref="D16"/>
      <selection pane="bottomLeft" activeCell="D14" sqref="D14:D16"/>
    </sheetView>
  </sheetViews>
  <sheetFormatPr defaultColWidth="8.85546875" defaultRowHeight="14.25" x14ac:dyDescent="0.2"/>
  <cols>
    <col min="1" max="1" width="9.140625" style="47" customWidth="1"/>
    <col min="2" max="2" width="8" style="47" bestFit="1" customWidth="1"/>
    <col min="3" max="3" width="67.140625" style="47" customWidth="1"/>
    <col min="4" max="4" width="13.85546875" style="47" customWidth="1"/>
    <col min="5" max="5" width="14.42578125" style="47" bestFit="1" customWidth="1"/>
    <col min="6" max="6" width="15.140625" style="47" bestFit="1" customWidth="1"/>
    <col min="7" max="7" width="4.85546875" style="47" customWidth="1"/>
    <col min="8" max="8" width="14.140625" style="47" bestFit="1" customWidth="1"/>
    <col min="9" max="9" width="8.5703125" style="47" bestFit="1" customWidth="1"/>
    <col min="10" max="11" width="9.140625" style="47" bestFit="1" customWidth="1"/>
    <col min="12" max="12" width="8.140625" style="47" bestFit="1" customWidth="1"/>
    <col min="13" max="13" width="10" style="47" bestFit="1" customWidth="1"/>
    <col min="14" max="14" width="8.5703125" style="47" bestFit="1" customWidth="1"/>
    <col min="15" max="15" width="12.140625" style="47" bestFit="1" customWidth="1"/>
    <col min="16" max="16384" width="8.85546875" style="47"/>
  </cols>
  <sheetData>
    <row r="3" spans="2:6" ht="15" thickBot="1" x14ac:dyDescent="0.25"/>
    <row r="4" spans="2:6" x14ac:dyDescent="0.2">
      <c r="B4" s="469" t="s">
        <v>107</v>
      </c>
      <c r="C4" s="471" t="s">
        <v>108</v>
      </c>
      <c r="D4" s="469" t="s">
        <v>109</v>
      </c>
      <c r="E4" s="469" t="s">
        <v>110</v>
      </c>
      <c r="F4" s="58" t="s">
        <v>5</v>
      </c>
    </row>
    <row r="5" spans="2:6" ht="15" thickBot="1" x14ac:dyDescent="0.25">
      <c r="B5" s="470"/>
      <c r="C5" s="472"/>
      <c r="D5" s="473"/>
      <c r="E5" s="473"/>
      <c r="F5" s="59" t="s">
        <v>111</v>
      </c>
    </row>
    <row r="6" spans="2:6" ht="15" thickBot="1" x14ac:dyDescent="0.25">
      <c r="B6" s="463">
        <v>1</v>
      </c>
      <c r="C6" s="60" t="s">
        <v>112</v>
      </c>
      <c r="D6" s="61"/>
      <c r="E6" s="61"/>
      <c r="F6" s="61"/>
    </row>
    <row r="7" spans="2:6" ht="29.25" thickBot="1" x14ac:dyDescent="0.25">
      <c r="B7" s="464"/>
      <c r="C7" s="60" t="s">
        <v>113</v>
      </c>
      <c r="D7" s="62" t="s">
        <v>114</v>
      </c>
      <c r="E7" s="63" t="s">
        <v>115</v>
      </c>
      <c r="F7" s="63">
        <v>750</v>
      </c>
    </row>
    <row r="8" spans="2:6" ht="29.25" thickBot="1" x14ac:dyDescent="0.25">
      <c r="B8" s="465"/>
      <c r="C8" s="60" t="s">
        <v>116</v>
      </c>
      <c r="D8" s="64" t="s">
        <v>117</v>
      </c>
      <c r="E8" s="65" t="s">
        <v>118</v>
      </c>
      <c r="F8" s="63">
        <v>530</v>
      </c>
    </row>
    <row r="9" spans="2:6" ht="29.25" thickBot="1" x14ac:dyDescent="0.25">
      <c r="B9" s="66">
        <v>2</v>
      </c>
      <c r="C9" s="60" t="s">
        <v>119</v>
      </c>
      <c r="D9" s="466" t="s">
        <v>120</v>
      </c>
      <c r="E9" s="65" t="s">
        <v>121</v>
      </c>
      <c r="F9" s="463">
        <v>3257.63</v>
      </c>
    </row>
    <row r="10" spans="2:6" ht="15" thickBot="1" x14ac:dyDescent="0.25">
      <c r="B10" s="66">
        <v>3</v>
      </c>
      <c r="C10" s="60" t="s">
        <v>122</v>
      </c>
      <c r="D10" s="467"/>
      <c r="E10" s="65" t="s">
        <v>123</v>
      </c>
      <c r="F10" s="464"/>
    </row>
    <row r="11" spans="2:6" ht="15" thickBot="1" x14ac:dyDescent="0.25">
      <c r="B11" s="66">
        <v>4</v>
      </c>
      <c r="C11" s="67" t="s">
        <v>124</v>
      </c>
      <c r="D11" s="467"/>
      <c r="E11" s="61"/>
      <c r="F11" s="464"/>
    </row>
    <row r="12" spans="2:6" ht="29.25" thickBot="1" x14ac:dyDescent="0.25">
      <c r="B12" s="66">
        <v>5</v>
      </c>
      <c r="C12" s="60" t="s">
        <v>125</v>
      </c>
      <c r="D12" s="468"/>
      <c r="E12" s="65" t="s">
        <v>126</v>
      </c>
      <c r="F12" s="465"/>
    </row>
    <row r="13" spans="2:6" ht="29.25" thickBot="1" x14ac:dyDescent="0.25">
      <c r="B13" s="66">
        <v>6</v>
      </c>
      <c r="C13" s="60" t="s">
        <v>127</v>
      </c>
      <c r="D13" s="64" t="s">
        <v>128</v>
      </c>
      <c r="E13" s="63" t="s">
        <v>129</v>
      </c>
      <c r="F13" s="63">
        <v>90</v>
      </c>
    </row>
    <row r="14" spans="2:6" ht="29.25" thickBot="1" x14ac:dyDescent="0.25">
      <c r="B14" s="66">
        <v>7</v>
      </c>
      <c r="C14" s="60" t="s">
        <v>130</v>
      </c>
      <c r="D14" s="466" t="s">
        <v>120</v>
      </c>
      <c r="E14" s="63" t="s">
        <v>131</v>
      </c>
      <c r="F14" s="463">
        <v>1606.44</v>
      </c>
    </row>
    <row r="15" spans="2:6" ht="15" thickBot="1" x14ac:dyDescent="0.25">
      <c r="B15" s="66">
        <v>8</v>
      </c>
      <c r="C15" s="60" t="s">
        <v>132</v>
      </c>
      <c r="D15" s="467"/>
      <c r="E15" s="63" t="s">
        <v>133</v>
      </c>
      <c r="F15" s="464"/>
    </row>
    <row r="16" spans="2:6" ht="29.25" thickBot="1" x14ac:dyDescent="0.25">
      <c r="B16" s="66">
        <v>9</v>
      </c>
      <c r="C16" s="60" t="s">
        <v>134</v>
      </c>
      <c r="D16" s="468"/>
      <c r="E16" s="63" t="s">
        <v>133</v>
      </c>
      <c r="F16" s="465"/>
    </row>
    <row r="17" spans="2:6" ht="15" thickBot="1" x14ac:dyDescent="0.25">
      <c r="B17" s="66">
        <v>10</v>
      </c>
      <c r="C17" s="60" t="s">
        <v>135</v>
      </c>
      <c r="D17" s="64" t="s">
        <v>136</v>
      </c>
      <c r="E17" s="63" t="s">
        <v>133</v>
      </c>
      <c r="F17" s="63">
        <v>320.37</v>
      </c>
    </row>
    <row r="18" spans="2:6" ht="15" thickBot="1" x14ac:dyDescent="0.25">
      <c r="B18" s="66">
        <v>11</v>
      </c>
      <c r="C18" s="60" t="s">
        <v>137</v>
      </c>
      <c r="D18" s="62" t="s">
        <v>138</v>
      </c>
      <c r="E18" s="63">
        <v>150</v>
      </c>
      <c r="F18" s="63">
        <v>150</v>
      </c>
    </row>
    <row r="19" spans="2:6" ht="29.25" thickBot="1" x14ac:dyDescent="0.25">
      <c r="B19" s="66">
        <v>12</v>
      </c>
      <c r="C19" s="60" t="s">
        <v>139</v>
      </c>
      <c r="D19" s="64" t="s">
        <v>140</v>
      </c>
      <c r="E19" s="63">
        <v>50</v>
      </c>
      <c r="F19" s="63">
        <v>154.69</v>
      </c>
    </row>
    <row r="20" spans="2:6" ht="29.25" thickBot="1" x14ac:dyDescent="0.25">
      <c r="B20" s="66">
        <v>13</v>
      </c>
      <c r="C20" s="60" t="s">
        <v>141</v>
      </c>
      <c r="D20" s="62" t="s">
        <v>142</v>
      </c>
      <c r="E20" s="63">
        <v>10000</v>
      </c>
      <c r="F20" s="63">
        <v>231.13</v>
      </c>
    </row>
    <row r="21" spans="2:6" ht="15" thickBot="1" x14ac:dyDescent="0.25">
      <c r="B21" s="66">
        <v>13</v>
      </c>
      <c r="C21" s="60" t="s">
        <v>143</v>
      </c>
      <c r="D21" s="68"/>
      <c r="E21" s="63" t="s">
        <v>144</v>
      </c>
      <c r="F21" s="63">
        <v>200</v>
      </c>
    </row>
    <row r="22" spans="2:6" ht="15" thickBot="1" x14ac:dyDescent="0.25">
      <c r="B22" s="66">
        <v>14</v>
      </c>
      <c r="C22" s="60" t="s">
        <v>145</v>
      </c>
      <c r="D22" s="64" t="s">
        <v>146</v>
      </c>
      <c r="E22" s="63">
        <v>15000</v>
      </c>
      <c r="F22" s="63">
        <v>388.41</v>
      </c>
    </row>
    <row r="23" spans="2:6" ht="15" thickBot="1" x14ac:dyDescent="0.25">
      <c r="B23" s="66">
        <v>15</v>
      </c>
      <c r="C23" s="60" t="s">
        <v>147</v>
      </c>
      <c r="D23" s="68"/>
      <c r="E23" s="61"/>
      <c r="F23" s="63">
        <v>1</v>
      </c>
    </row>
    <row r="24" spans="2:6" ht="29.25" thickBot="1" x14ac:dyDescent="0.25">
      <c r="B24" s="66">
        <v>16</v>
      </c>
      <c r="C24" s="60" t="s">
        <v>148</v>
      </c>
      <c r="D24" s="64" t="s">
        <v>149</v>
      </c>
      <c r="E24" s="63" t="s">
        <v>150</v>
      </c>
      <c r="F24" s="63">
        <v>599.97</v>
      </c>
    </row>
    <row r="25" spans="2:6" ht="15" thickBot="1" x14ac:dyDescent="0.25">
      <c r="B25" s="66">
        <v>17</v>
      </c>
      <c r="C25" s="67" t="s">
        <v>151</v>
      </c>
      <c r="D25" s="62" t="s">
        <v>152</v>
      </c>
      <c r="E25" s="61"/>
      <c r="F25" s="63">
        <v>119.98</v>
      </c>
    </row>
    <row r="26" spans="2:6" ht="15" thickBot="1" x14ac:dyDescent="0.25">
      <c r="B26" s="66">
        <v>18</v>
      </c>
      <c r="C26" s="67" t="s">
        <v>153</v>
      </c>
      <c r="D26" s="62" t="s">
        <v>154</v>
      </c>
      <c r="E26" s="63" t="s">
        <v>155</v>
      </c>
      <c r="F26" s="63">
        <v>99.97</v>
      </c>
    </row>
    <row r="27" spans="2:6" ht="15" thickBot="1" x14ac:dyDescent="0.25">
      <c r="B27" s="66">
        <v>19</v>
      </c>
      <c r="C27" s="67" t="s">
        <v>156</v>
      </c>
      <c r="D27" s="68"/>
      <c r="E27" s="61"/>
      <c r="F27" s="63">
        <v>23.97</v>
      </c>
    </row>
    <row r="28" spans="2:6" ht="29.25" thickBot="1" x14ac:dyDescent="0.25">
      <c r="B28" s="66">
        <v>20</v>
      </c>
      <c r="C28" s="60" t="s">
        <v>157</v>
      </c>
      <c r="D28" s="68"/>
      <c r="E28" s="63">
        <v>20000</v>
      </c>
      <c r="F28" s="63">
        <v>1610.39</v>
      </c>
    </row>
    <row r="29" spans="2:6" ht="15" thickBot="1" x14ac:dyDescent="0.25">
      <c r="B29" s="66">
        <v>22</v>
      </c>
      <c r="C29" s="67" t="s">
        <v>158</v>
      </c>
      <c r="D29" s="62" t="s">
        <v>159</v>
      </c>
      <c r="E29" s="61"/>
      <c r="F29" s="63">
        <v>125.02</v>
      </c>
    </row>
    <row r="30" spans="2:6" ht="15" thickBot="1" x14ac:dyDescent="0.25">
      <c r="B30" s="66">
        <v>23</v>
      </c>
      <c r="C30" s="67" t="s">
        <v>160</v>
      </c>
      <c r="D30" s="62" t="s">
        <v>161</v>
      </c>
      <c r="E30" s="61"/>
      <c r="F30" s="63">
        <v>254</v>
      </c>
    </row>
    <row r="31" spans="2:6" ht="15" thickBot="1" x14ac:dyDescent="0.25">
      <c r="B31" s="66">
        <v>24</v>
      </c>
      <c r="C31" s="67" t="s">
        <v>162</v>
      </c>
      <c r="D31" s="68"/>
      <c r="E31" s="61"/>
      <c r="F31" s="63">
        <v>140.30000000000001</v>
      </c>
    </row>
    <row r="32" spans="2:6" ht="15" thickBot="1" x14ac:dyDescent="0.25">
      <c r="B32" s="66">
        <v>25</v>
      </c>
      <c r="C32" s="67" t="s">
        <v>163</v>
      </c>
      <c r="D32" s="62" t="s">
        <v>164</v>
      </c>
      <c r="E32" s="61"/>
      <c r="F32" s="63">
        <v>209.98</v>
      </c>
    </row>
    <row r="33" spans="2:6" ht="15" thickBot="1" x14ac:dyDescent="0.25">
      <c r="B33" s="66">
        <v>26</v>
      </c>
      <c r="C33" s="67" t="s">
        <v>165</v>
      </c>
      <c r="D33" s="62" t="s">
        <v>166</v>
      </c>
      <c r="E33" s="61"/>
      <c r="F33" s="63">
        <v>79.25</v>
      </c>
    </row>
    <row r="34" spans="2:6" ht="15" thickBot="1" x14ac:dyDescent="0.25">
      <c r="B34" s="66">
        <v>27</v>
      </c>
      <c r="C34" s="67" t="s">
        <v>167</v>
      </c>
      <c r="D34" s="63" t="s">
        <v>168</v>
      </c>
      <c r="E34" s="63" t="s">
        <v>169</v>
      </c>
      <c r="F34" s="63">
        <v>80</v>
      </c>
    </row>
    <row r="35" spans="2:6" ht="15" thickBot="1" x14ac:dyDescent="0.25">
      <c r="B35" s="66">
        <v>28</v>
      </c>
      <c r="C35" s="67" t="s">
        <v>170</v>
      </c>
      <c r="D35" s="63" t="s">
        <v>128</v>
      </c>
      <c r="E35" s="63" t="s">
        <v>171</v>
      </c>
      <c r="F35" s="63">
        <v>130</v>
      </c>
    </row>
    <row r="36" spans="2:6" ht="29.25" thickBot="1" x14ac:dyDescent="0.25">
      <c r="B36" s="66">
        <v>29</v>
      </c>
      <c r="C36" s="60" t="s">
        <v>172</v>
      </c>
      <c r="D36" s="65" t="s">
        <v>173</v>
      </c>
      <c r="E36" s="63" t="s">
        <v>174</v>
      </c>
      <c r="F36" s="63">
        <v>2523.96</v>
      </c>
    </row>
    <row r="37" spans="2:6" ht="29.25" thickBot="1" x14ac:dyDescent="0.25">
      <c r="B37" s="66">
        <v>30</v>
      </c>
      <c r="C37" s="60" t="s">
        <v>175</v>
      </c>
      <c r="D37" s="61"/>
      <c r="E37" s="61"/>
      <c r="F37" s="63">
        <v>122.4</v>
      </c>
    </row>
    <row r="38" spans="2:6" ht="15" thickBot="1" x14ac:dyDescent="0.25">
      <c r="B38" s="66">
        <v>31</v>
      </c>
      <c r="C38" s="67" t="s">
        <v>176</v>
      </c>
      <c r="D38" s="63" t="s">
        <v>177</v>
      </c>
      <c r="E38" s="61"/>
      <c r="F38" s="63">
        <v>408</v>
      </c>
    </row>
    <row r="39" spans="2:6" ht="15" thickBot="1" x14ac:dyDescent="0.25">
      <c r="B39" s="66">
        <v>32</v>
      </c>
      <c r="C39" s="67" t="s">
        <v>178</v>
      </c>
      <c r="D39" s="63" t="s">
        <v>179</v>
      </c>
      <c r="E39" s="61"/>
      <c r="F39" s="63">
        <v>175.1</v>
      </c>
    </row>
    <row r="40" spans="2:6" ht="15" thickBot="1" x14ac:dyDescent="0.25">
      <c r="B40" s="66">
        <v>33</v>
      </c>
      <c r="C40" s="67" t="s">
        <v>180</v>
      </c>
      <c r="D40" s="61"/>
      <c r="E40" s="61"/>
      <c r="F40" s="63">
        <v>386.16</v>
      </c>
    </row>
    <row r="41" spans="2:6" ht="29.25" thickBot="1" x14ac:dyDescent="0.25">
      <c r="B41" s="66">
        <v>34</v>
      </c>
      <c r="C41" s="60" t="s">
        <v>181</v>
      </c>
      <c r="D41" s="63" t="s">
        <v>179</v>
      </c>
      <c r="E41" s="61"/>
      <c r="F41" s="63">
        <v>134.72999999999999</v>
      </c>
    </row>
    <row r="42" spans="2:6" ht="15" thickBot="1" x14ac:dyDescent="0.25">
      <c r="B42" s="66"/>
      <c r="C42" s="69" t="s">
        <v>182</v>
      </c>
      <c r="D42" s="61"/>
      <c r="E42" s="61"/>
      <c r="F42" s="59">
        <v>14902.85</v>
      </c>
    </row>
  </sheetData>
  <mergeCells count="9">
    <mergeCell ref="F9:F12"/>
    <mergeCell ref="D14:D16"/>
    <mergeCell ref="F14:F16"/>
    <mergeCell ref="B4:B5"/>
    <mergeCell ref="C4:C5"/>
    <mergeCell ref="D4:D5"/>
    <mergeCell ref="E4:E5"/>
    <mergeCell ref="B6:B8"/>
    <mergeCell ref="D9:D12"/>
  </mergeCells>
  <pageMargins left="0.7" right="0.7" top="0.25" bottom="0.25" header="0.3" footer="0.3"/>
  <pageSetup scale="9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B3:D16"/>
  <sheetViews>
    <sheetView workbookViewId="0">
      <selection activeCell="C19" sqref="C19"/>
    </sheetView>
  </sheetViews>
  <sheetFormatPr defaultRowHeight="15" x14ac:dyDescent="0.25"/>
  <cols>
    <col min="2" max="2" width="5.5703125" bestFit="1" customWidth="1"/>
    <col min="3" max="3" width="44.42578125" bestFit="1" customWidth="1"/>
    <col min="4" max="4" width="8.5703125" bestFit="1" customWidth="1"/>
  </cols>
  <sheetData>
    <row r="3" spans="2:4" ht="15.75" x14ac:dyDescent="0.25">
      <c r="B3" s="1"/>
      <c r="C3" s="2"/>
      <c r="D3" s="3" t="s">
        <v>0</v>
      </c>
    </row>
    <row r="4" spans="2:4" ht="15.75" x14ac:dyDescent="0.25">
      <c r="B4" s="4"/>
      <c r="C4" s="5" t="s">
        <v>1</v>
      </c>
      <c r="D4" s="6"/>
    </row>
    <row r="5" spans="2:4" ht="15.75" x14ac:dyDescent="0.25">
      <c r="B5" s="4"/>
      <c r="C5" s="5" t="s">
        <v>2</v>
      </c>
      <c r="D5" s="6"/>
    </row>
    <row r="6" spans="2:4" ht="15.75" x14ac:dyDescent="0.25">
      <c r="B6" s="7"/>
      <c r="C6" s="8" t="s">
        <v>0</v>
      </c>
      <c r="D6" s="9" t="s">
        <v>0</v>
      </c>
    </row>
    <row r="7" spans="2:4" ht="31.5" x14ac:dyDescent="0.25">
      <c r="B7" s="10" t="s">
        <v>3</v>
      </c>
      <c r="C7" s="10" t="s">
        <v>4</v>
      </c>
      <c r="D7" s="11" t="s">
        <v>5</v>
      </c>
    </row>
    <row r="8" spans="2:4" ht="15.75" x14ac:dyDescent="0.25">
      <c r="B8" s="12"/>
      <c r="C8" s="13"/>
      <c r="D8" s="14"/>
    </row>
    <row r="9" spans="2:4" ht="15.75" x14ac:dyDescent="0.25">
      <c r="B9" s="12">
        <v>1</v>
      </c>
      <c r="C9" s="13" t="s">
        <v>6</v>
      </c>
      <c r="D9" s="14">
        <v>0.03</v>
      </c>
    </row>
    <row r="10" spans="2:4" ht="15.75" x14ac:dyDescent="0.25">
      <c r="B10" s="12">
        <f>B9+1</f>
        <v>2</v>
      </c>
      <c r="C10" s="13" t="s">
        <v>7</v>
      </c>
      <c r="D10" s="14">
        <v>0.05</v>
      </c>
    </row>
    <row r="11" spans="2:4" ht="15.75" x14ac:dyDescent="0.25">
      <c r="B11" s="12">
        <f>B10+1</f>
        <v>3</v>
      </c>
      <c r="C11" s="13" t="s">
        <v>8</v>
      </c>
      <c r="D11" s="14">
        <v>0.01</v>
      </c>
    </row>
    <row r="12" spans="2:4" ht="15.75" x14ac:dyDescent="0.25">
      <c r="B12" s="12">
        <f>B11+1</f>
        <v>4</v>
      </c>
      <c r="C12" s="13" t="s">
        <v>9</v>
      </c>
      <c r="D12" s="14">
        <f>+IDC!D39</f>
        <v>0.68293745737165712</v>
      </c>
    </row>
    <row r="13" spans="2:4" ht="15.75" x14ac:dyDescent="0.25">
      <c r="B13" s="12">
        <f>B12+1</f>
        <v>5</v>
      </c>
      <c r="C13" s="13" t="s">
        <v>10</v>
      </c>
      <c r="D13" s="14">
        <f>+IDC!J36</f>
        <v>10.933225300196998</v>
      </c>
    </row>
    <row r="14" spans="2:4" ht="15.75" x14ac:dyDescent="0.25">
      <c r="B14" s="12">
        <v>6</v>
      </c>
      <c r="C14" s="13" t="s">
        <v>11</v>
      </c>
      <c r="D14" s="14">
        <v>0.5</v>
      </c>
    </row>
    <row r="15" spans="2:4" ht="15.75" x14ac:dyDescent="0.25">
      <c r="B15" s="12">
        <v>7</v>
      </c>
      <c r="C15" s="13" t="s">
        <v>12</v>
      </c>
      <c r="D15" s="14">
        <v>0.2</v>
      </c>
    </row>
    <row r="16" spans="2:4" ht="15.75" x14ac:dyDescent="0.25">
      <c r="B16" s="12"/>
      <c r="C16" s="15" t="s">
        <v>13</v>
      </c>
      <c r="D16" s="16">
        <f>SUM(D8:D15)</f>
        <v>12.406162757568655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2:J40"/>
  <sheetViews>
    <sheetView tabSelected="1" zoomScale="120" zoomScaleNormal="120" workbookViewId="0">
      <selection activeCell="D20" sqref="D20:I20"/>
    </sheetView>
  </sheetViews>
  <sheetFormatPr defaultRowHeight="15" x14ac:dyDescent="0.25"/>
  <cols>
    <col min="2" max="2" width="32.5703125" bestFit="1" customWidth="1"/>
    <col min="3" max="3" width="14" customWidth="1"/>
    <col min="4" max="9" width="12.42578125" customWidth="1"/>
    <col min="10" max="10" width="11.85546875" customWidth="1"/>
  </cols>
  <sheetData>
    <row r="2" spans="2:10" x14ac:dyDescent="0.25">
      <c r="B2" s="27" t="s">
        <v>396</v>
      </c>
      <c r="C2" s="27"/>
    </row>
    <row r="4" spans="2:10" x14ac:dyDescent="0.25">
      <c r="B4" s="249" t="s">
        <v>108</v>
      </c>
      <c r="C4" s="249"/>
      <c r="D4" s="254">
        <v>44196</v>
      </c>
      <c r="E4" s="254">
        <f>EOMONTH(D4,3)</f>
        <v>44286</v>
      </c>
      <c r="F4" s="254">
        <f t="shared" ref="F4:I4" si="0">EOMONTH(E4,3)</f>
        <v>44377</v>
      </c>
      <c r="G4" s="254">
        <f t="shared" si="0"/>
        <v>44469</v>
      </c>
      <c r="H4" s="254">
        <f t="shared" si="0"/>
        <v>44561</v>
      </c>
      <c r="I4" s="254">
        <f t="shared" si="0"/>
        <v>44651</v>
      </c>
      <c r="J4" s="258" t="s">
        <v>397</v>
      </c>
    </row>
    <row r="5" spans="2:10" x14ac:dyDescent="0.25">
      <c r="B5" s="250" t="s">
        <v>388</v>
      </c>
      <c r="C5" s="250"/>
      <c r="D5" s="255">
        <v>1</v>
      </c>
      <c r="E5" s="255">
        <v>0</v>
      </c>
      <c r="F5" s="255">
        <v>0</v>
      </c>
      <c r="G5" s="255">
        <v>0</v>
      </c>
      <c r="H5" s="255">
        <v>0</v>
      </c>
      <c r="I5" s="255">
        <f>1-SUM(D5:H5)</f>
        <v>0</v>
      </c>
      <c r="J5" s="259">
        <f>SUM(D5:I5)</f>
        <v>1</v>
      </c>
    </row>
    <row r="6" spans="2:10" x14ac:dyDescent="0.25">
      <c r="B6" s="250" t="s">
        <v>390</v>
      </c>
      <c r="C6" s="250"/>
      <c r="D6" s="255">
        <v>0</v>
      </c>
      <c r="E6" s="255">
        <v>0.2</v>
      </c>
      <c r="F6" s="255">
        <v>0.3</v>
      </c>
      <c r="G6" s="255">
        <v>0.4</v>
      </c>
      <c r="H6" s="255">
        <v>0.1</v>
      </c>
      <c r="I6" s="255">
        <f>1-SUM(D6:H6)</f>
        <v>0</v>
      </c>
      <c r="J6" s="259">
        <f t="shared" ref="J6:J11" si="1">SUM(D6:I6)</f>
        <v>1</v>
      </c>
    </row>
    <row r="7" spans="2:10" x14ac:dyDescent="0.25">
      <c r="B7" s="250" t="s">
        <v>59</v>
      </c>
      <c r="C7" s="250"/>
      <c r="D7" s="255">
        <v>0</v>
      </c>
      <c r="E7" s="255">
        <v>0.05</v>
      </c>
      <c r="F7" s="255">
        <v>0.15</v>
      </c>
      <c r="G7" s="255">
        <v>0.35</v>
      </c>
      <c r="H7" s="255">
        <v>0.4</v>
      </c>
      <c r="I7" s="255">
        <f t="shared" ref="I7:I11" si="2">1-SUM(D7:H7)</f>
        <v>4.9999999999999933E-2</v>
      </c>
      <c r="J7" s="259">
        <f t="shared" si="1"/>
        <v>1</v>
      </c>
    </row>
    <row r="8" spans="2:10" x14ac:dyDescent="0.25">
      <c r="B8" s="250" t="s">
        <v>392</v>
      </c>
      <c r="C8" s="250"/>
      <c r="D8" s="255">
        <v>0</v>
      </c>
      <c r="E8" s="255">
        <v>0.05</v>
      </c>
      <c r="F8" s="255">
        <v>0.15</v>
      </c>
      <c r="G8" s="255">
        <v>0.35</v>
      </c>
      <c r="H8" s="255">
        <v>0.4</v>
      </c>
      <c r="I8" s="255">
        <f t="shared" si="2"/>
        <v>4.9999999999999933E-2</v>
      </c>
      <c r="J8" s="259">
        <f t="shared" si="1"/>
        <v>1</v>
      </c>
    </row>
    <row r="9" spans="2:10" x14ac:dyDescent="0.25">
      <c r="B9" s="250" t="s">
        <v>391</v>
      </c>
      <c r="C9" s="250"/>
      <c r="D9" s="255">
        <v>0.15</v>
      </c>
      <c r="E9" s="255">
        <v>0.15</v>
      </c>
      <c r="F9" s="255">
        <v>0.15</v>
      </c>
      <c r="G9" s="255">
        <v>0.15</v>
      </c>
      <c r="H9" s="255">
        <v>0.15</v>
      </c>
      <c r="I9" s="255">
        <f t="shared" si="2"/>
        <v>0.25</v>
      </c>
      <c r="J9" s="259">
        <f t="shared" si="1"/>
        <v>1</v>
      </c>
    </row>
    <row r="10" spans="2:10" x14ac:dyDescent="0.25">
      <c r="B10" s="250" t="s">
        <v>393</v>
      </c>
      <c r="C10" s="250"/>
      <c r="D10" s="255">
        <v>0</v>
      </c>
      <c r="E10" s="255">
        <v>0</v>
      </c>
      <c r="F10" s="255">
        <v>0.05</v>
      </c>
      <c r="G10" s="255">
        <v>0.2</v>
      </c>
      <c r="H10" s="255">
        <v>0.4</v>
      </c>
      <c r="I10" s="255">
        <f t="shared" si="2"/>
        <v>0.35</v>
      </c>
      <c r="J10" s="259">
        <f t="shared" si="1"/>
        <v>1</v>
      </c>
    </row>
    <row r="11" spans="2:10" x14ac:dyDescent="0.25">
      <c r="B11" s="250" t="s">
        <v>394</v>
      </c>
      <c r="C11" s="250"/>
      <c r="D11" s="255">
        <v>0</v>
      </c>
      <c r="E11" s="255">
        <v>0</v>
      </c>
      <c r="F11" s="255">
        <v>0</v>
      </c>
      <c r="G11" s="255">
        <v>0</v>
      </c>
      <c r="H11" s="255">
        <v>0</v>
      </c>
      <c r="I11" s="255">
        <f t="shared" si="2"/>
        <v>1</v>
      </c>
      <c r="J11" s="259">
        <f t="shared" si="1"/>
        <v>1</v>
      </c>
    </row>
    <row r="14" spans="2:10" x14ac:dyDescent="0.25">
      <c r="B14" s="249" t="s">
        <v>108</v>
      </c>
      <c r="C14" s="258" t="s">
        <v>5</v>
      </c>
      <c r="D14" s="254">
        <v>44196</v>
      </c>
      <c r="E14" s="254">
        <f>EOMONTH(D14,3)</f>
        <v>44286</v>
      </c>
      <c r="F14" s="254">
        <f t="shared" ref="F14:I14" si="3">EOMONTH(E14,3)</f>
        <v>44377</v>
      </c>
      <c r="G14" s="254">
        <f t="shared" si="3"/>
        <v>44469</v>
      </c>
      <c r="H14" s="254">
        <f t="shared" si="3"/>
        <v>44561</v>
      </c>
      <c r="I14" s="254">
        <f t="shared" si="3"/>
        <v>44651</v>
      </c>
      <c r="J14" s="258" t="s">
        <v>397</v>
      </c>
    </row>
    <row r="15" spans="2:10" x14ac:dyDescent="0.25">
      <c r="B15" s="250" t="s">
        <v>388</v>
      </c>
      <c r="C15" s="260">
        <f>+'Cost &amp; Means'!C6</f>
        <v>8</v>
      </c>
      <c r="D15" s="260">
        <f>$C15*D5</f>
        <v>8</v>
      </c>
      <c r="E15" s="260">
        <f t="shared" ref="E15:I15" si="4">$C15*E5</f>
        <v>0</v>
      </c>
      <c r="F15" s="260">
        <f t="shared" si="4"/>
        <v>0</v>
      </c>
      <c r="G15" s="260">
        <f t="shared" si="4"/>
        <v>0</v>
      </c>
      <c r="H15" s="260">
        <f t="shared" si="4"/>
        <v>0</v>
      </c>
      <c r="I15" s="260">
        <f t="shared" si="4"/>
        <v>0</v>
      </c>
      <c r="J15" s="261">
        <f>SUM(D15:I15)</f>
        <v>8</v>
      </c>
    </row>
    <row r="16" spans="2:10" x14ac:dyDescent="0.25">
      <c r="B16" s="250" t="s">
        <v>390</v>
      </c>
      <c r="C16" s="260">
        <f>+'Cost &amp; Means'!C7</f>
        <v>10.16</v>
      </c>
      <c r="D16" s="260">
        <f t="shared" ref="D16:I16" si="5">$C16*D6</f>
        <v>0</v>
      </c>
      <c r="E16" s="260">
        <f t="shared" si="5"/>
        <v>2.032</v>
      </c>
      <c r="F16" s="260">
        <f t="shared" si="5"/>
        <v>3.048</v>
      </c>
      <c r="G16" s="260">
        <f t="shared" si="5"/>
        <v>4.0640000000000001</v>
      </c>
      <c r="H16" s="260">
        <f t="shared" si="5"/>
        <v>1.016</v>
      </c>
      <c r="I16" s="260">
        <f t="shared" si="5"/>
        <v>0</v>
      </c>
      <c r="J16" s="261">
        <f t="shared" ref="J16:J23" si="6">SUM(D16:I16)</f>
        <v>10.16</v>
      </c>
    </row>
    <row r="17" spans="2:10" x14ac:dyDescent="0.25">
      <c r="B17" s="250" t="s">
        <v>59</v>
      </c>
      <c r="C17" s="260">
        <f>+'Cost &amp; Means'!C8</f>
        <v>149.02850000000001</v>
      </c>
      <c r="D17" s="260">
        <f t="shared" ref="D17:I17" si="7">$C17*D7</f>
        <v>0</v>
      </c>
      <c r="E17" s="260">
        <f t="shared" si="7"/>
        <v>7.4514250000000004</v>
      </c>
      <c r="F17" s="260">
        <f t="shared" si="7"/>
        <v>22.354275000000001</v>
      </c>
      <c r="G17" s="260">
        <f t="shared" si="7"/>
        <v>52.159975000000003</v>
      </c>
      <c r="H17" s="260">
        <f t="shared" si="7"/>
        <v>59.611400000000003</v>
      </c>
      <c r="I17" s="260">
        <f t="shared" si="7"/>
        <v>7.4514249999999906</v>
      </c>
      <c r="J17" s="261">
        <f t="shared" si="6"/>
        <v>149.02850000000001</v>
      </c>
    </row>
    <row r="18" spans="2:10" x14ac:dyDescent="0.25">
      <c r="B18" s="250" t="s">
        <v>392</v>
      </c>
      <c r="C18" s="260">
        <f>+'Cost &amp; Means'!C9</f>
        <v>0.5</v>
      </c>
      <c r="D18" s="260">
        <f t="shared" ref="D18:I18" si="8">$C18*D8</f>
        <v>0</v>
      </c>
      <c r="E18" s="260">
        <f t="shared" si="8"/>
        <v>2.5000000000000001E-2</v>
      </c>
      <c r="F18" s="260">
        <f t="shared" si="8"/>
        <v>7.4999999999999997E-2</v>
      </c>
      <c r="G18" s="260">
        <f t="shared" si="8"/>
        <v>0.17499999999999999</v>
      </c>
      <c r="H18" s="260">
        <f t="shared" si="8"/>
        <v>0.2</v>
      </c>
      <c r="I18" s="260">
        <f t="shared" si="8"/>
        <v>2.4999999999999967E-2</v>
      </c>
      <c r="J18" s="261">
        <f t="shared" si="6"/>
        <v>0.5</v>
      </c>
    </row>
    <row r="19" spans="2:10" x14ac:dyDescent="0.25">
      <c r="B19" s="250" t="s">
        <v>391</v>
      </c>
      <c r="C19" s="260">
        <f>SUM('Pre-operative'!D9:D11,'Pre-operative'!D14,'Pre-operative'!D15)</f>
        <v>0.79</v>
      </c>
      <c r="D19" s="260">
        <f t="shared" ref="D19:I19" si="9">$C19*D9</f>
        <v>0.11849999999999999</v>
      </c>
      <c r="E19" s="260">
        <f t="shared" si="9"/>
        <v>0.11849999999999999</v>
      </c>
      <c r="F19" s="260">
        <f t="shared" si="9"/>
        <v>0.11849999999999999</v>
      </c>
      <c r="G19" s="260">
        <f t="shared" si="9"/>
        <v>0.11849999999999999</v>
      </c>
      <c r="H19" s="260">
        <f t="shared" si="9"/>
        <v>0.11849999999999999</v>
      </c>
      <c r="I19" s="260">
        <f t="shared" si="9"/>
        <v>0.19750000000000001</v>
      </c>
      <c r="J19" s="261">
        <f t="shared" si="6"/>
        <v>0.79</v>
      </c>
    </row>
    <row r="20" spans="2:10" x14ac:dyDescent="0.25">
      <c r="B20" s="250" t="s">
        <v>10</v>
      </c>
      <c r="C20" s="260">
        <f>SUM(D20:I20)</f>
        <v>10.933119596549036</v>
      </c>
      <c r="D20" s="260">
        <v>0.17503777692530523</v>
      </c>
      <c r="E20" s="260">
        <v>0.36997338800012519</v>
      </c>
      <c r="F20" s="260">
        <v>0.89137319617856881</v>
      </c>
      <c r="G20" s="260">
        <v>2.0531142071230244</v>
      </c>
      <c r="H20" s="260">
        <v>3.3460405610946773</v>
      </c>
      <c r="I20" s="260">
        <v>4.0975804672273348</v>
      </c>
      <c r="J20" s="261">
        <f>SUM(D20:I20)</f>
        <v>10.933119596549036</v>
      </c>
    </row>
    <row r="21" spans="2:10" x14ac:dyDescent="0.25">
      <c r="B21" s="250" t="s">
        <v>382</v>
      </c>
      <c r="C21" s="260">
        <f>D21</f>
        <v>0.68293000084346123</v>
      </c>
      <c r="D21" s="260">
        <v>0.68293000084346123</v>
      </c>
      <c r="E21" s="260">
        <v>0</v>
      </c>
      <c r="F21" s="260">
        <v>0</v>
      </c>
      <c r="G21" s="260">
        <v>0</v>
      </c>
      <c r="H21" s="260">
        <v>0</v>
      </c>
      <c r="I21" s="260">
        <v>0</v>
      </c>
      <c r="J21" s="261">
        <f>SUM(D21:I21)</f>
        <v>0.68293000084346123</v>
      </c>
    </row>
    <row r="22" spans="2:10" x14ac:dyDescent="0.25">
      <c r="B22" s="250" t="s">
        <v>393</v>
      </c>
      <c r="C22" s="260">
        <f>+'Cost &amp; Means'!C11</f>
        <v>5.0306550000000003</v>
      </c>
      <c r="D22" s="260">
        <f t="shared" ref="D22:I22" si="10">$C22*D10</f>
        <v>0</v>
      </c>
      <c r="E22" s="260">
        <f t="shared" si="10"/>
        <v>0</v>
      </c>
      <c r="F22" s="260">
        <f t="shared" si="10"/>
        <v>0.25153275000000003</v>
      </c>
      <c r="G22" s="260">
        <f t="shared" si="10"/>
        <v>1.0061310000000001</v>
      </c>
      <c r="H22" s="260">
        <f t="shared" si="10"/>
        <v>2.0122620000000002</v>
      </c>
      <c r="I22" s="260">
        <f t="shared" si="10"/>
        <v>1.76072925</v>
      </c>
      <c r="J22" s="261">
        <f t="shared" si="6"/>
        <v>5.0306550000000003</v>
      </c>
    </row>
    <row r="23" spans="2:10" x14ac:dyDescent="0.25">
      <c r="B23" s="250" t="s">
        <v>394</v>
      </c>
      <c r="C23" s="260">
        <f>+'Cost &amp; Means'!C12</f>
        <v>25.009397670809673</v>
      </c>
      <c r="D23" s="260">
        <f t="shared" ref="D23:I23" si="11">$C23*D11</f>
        <v>0</v>
      </c>
      <c r="E23" s="260">
        <f t="shared" si="11"/>
        <v>0</v>
      </c>
      <c r="F23" s="260">
        <f t="shared" si="11"/>
        <v>0</v>
      </c>
      <c r="G23" s="260">
        <f t="shared" si="11"/>
        <v>0</v>
      </c>
      <c r="H23" s="260">
        <f t="shared" si="11"/>
        <v>0</v>
      </c>
      <c r="I23" s="260">
        <f t="shared" si="11"/>
        <v>25.009397670809673</v>
      </c>
      <c r="J23" s="261">
        <f t="shared" si="6"/>
        <v>25.009397670809673</v>
      </c>
    </row>
    <row r="24" spans="2:10" x14ac:dyDescent="0.25">
      <c r="B24" s="263" t="s">
        <v>397</v>
      </c>
      <c r="C24" s="261">
        <f>SUM(C15:C23)</f>
        <v>210.13460226820217</v>
      </c>
      <c r="D24" s="261">
        <f t="shared" ref="D24:J24" si="12">SUM(D15:D23)</f>
        <v>8.9764677777687663</v>
      </c>
      <c r="E24" s="261">
        <f t="shared" si="12"/>
        <v>9.9968983880001243</v>
      </c>
      <c r="F24" s="261">
        <f t="shared" si="12"/>
        <v>26.738680946178572</v>
      </c>
      <c r="G24" s="261">
        <f t="shared" si="12"/>
        <v>59.576720207123024</v>
      </c>
      <c r="H24" s="261">
        <f t="shared" si="12"/>
        <v>66.304202561094684</v>
      </c>
      <c r="I24" s="261">
        <f t="shared" si="12"/>
        <v>38.541632388037002</v>
      </c>
      <c r="J24" s="261">
        <f t="shared" si="12"/>
        <v>210.13460226820217</v>
      </c>
    </row>
    <row r="26" spans="2:10" x14ac:dyDescent="0.25">
      <c r="B26" s="249" t="s">
        <v>108</v>
      </c>
      <c r="C26" s="250"/>
      <c r="D26" s="254">
        <f>D14</f>
        <v>44196</v>
      </c>
      <c r="E26" s="254">
        <f t="shared" ref="E26:I26" si="13">E14</f>
        <v>44286</v>
      </c>
      <c r="F26" s="254">
        <f t="shared" si="13"/>
        <v>44377</v>
      </c>
      <c r="G26" s="254">
        <f t="shared" si="13"/>
        <v>44469</v>
      </c>
      <c r="H26" s="254">
        <f t="shared" si="13"/>
        <v>44561</v>
      </c>
      <c r="I26" s="254">
        <f t="shared" si="13"/>
        <v>44651</v>
      </c>
      <c r="J26" s="258" t="s">
        <v>397</v>
      </c>
    </row>
    <row r="27" spans="2:10" x14ac:dyDescent="0.25">
      <c r="B27" s="250" t="s">
        <v>398</v>
      </c>
      <c r="C27" s="250"/>
      <c r="D27" s="260">
        <f>D24</f>
        <v>8.9764677777687663</v>
      </c>
      <c r="E27" s="260">
        <f>+D27+E24</f>
        <v>18.973366165768891</v>
      </c>
      <c r="F27" s="260">
        <f t="shared" ref="F27:I27" si="14">+E27+F24</f>
        <v>45.712047111947463</v>
      </c>
      <c r="G27" s="260">
        <f t="shared" si="14"/>
        <v>105.28876731907049</v>
      </c>
      <c r="H27" s="260">
        <f t="shared" si="14"/>
        <v>171.59296988016519</v>
      </c>
      <c r="I27" s="260">
        <f t="shared" si="14"/>
        <v>210.13460226820217</v>
      </c>
      <c r="J27" s="260">
        <f>I27</f>
        <v>210.13460226820217</v>
      </c>
    </row>
    <row r="28" spans="2:10" x14ac:dyDescent="0.25">
      <c r="B28" s="250"/>
      <c r="C28" s="250"/>
      <c r="D28" s="256"/>
      <c r="E28" s="256"/>
      <c r="F28" s="256"/>
      <c r="G28" s="256"/>
      <c r="H28" s="256"/>
      <c r="I28" s="256"/>
      <c r="J28" s="256"/>
    </row>
    <row r="29" spans="2:10" x14ac:dyDescent="0.25">
      <c r="B29" s="250" t="s">
        <v>18</v>
      </c>
      <c r="C29" s="250"/>
      <c r="D29" s="260">
        <f>D27*$C$33/(1+$C$33)</f>
        <v>5.8347040555496985</v>
      </c>
      <c r="E29" s="260">
        <f t="shared" ref="E29:I29" si="15">E27*$C$33/(1+$C$33)</f>
        <v>12.332688007749779</v>
      </c>
      <c r="F29" s="260">
        <f t="shared" si="15"/>
        <v>29.71283062276585</v>
      </c>
      <c r="G29" s="260">
        <f t="shared" si="15"/>
        <v>68.437698757395822</v>
      </c>
      <c r="H29" s="260">
        <f t="shared" si="15"/>
        <v>111.53543042210737</v>
      </c>
      <c r="I29" s="260">
        <f t="shared" si="15"/>
        <v>136.58749147433142</v>
      </c>
      <c r="J29" s="260">
        <f>I29</f>
        <v>136.58749147433142</v>
      </c>
    </row>
    <row r="30" spans="2:10" x14ac:dyDescent="0.25">
      <c r="B30" s="250" t="s">
        <v>399</v>
      </c>
      <c r="C30" s="250"/>
      <c r="D30" s="260">
        <f>D27-D29</f>
        <v>3.1417637222190677</v>
      </c>
      <c r="E30" s="260">
        <f t="shared" ref="E30:I30" si="16">E27-E29</f>
        <v>6.6406781580191119</v>
      </c>
      <c r="F30" s="260">
        <f t="shared" si="16"/>
        <v>15.999216489181613</v>
      </c>
      <c r="G30" s="260">
        <f t="shared" si="16"/>
        <v>36.851068561674666</v>
      </c>
      <c r="H30" s="260">
        <f t="shared" si="16"/>
        <v>60.057539458057818</v>
      </c>
      <c r="I30" s="260">
        <f t="shared" si="16"/>
        <v>73.547110793870758</v>
      </c>
      <c r="J30" s="260">
        <f>I30</f>
        <v>73.547110793870758</v>
      </c>
    </row>
    <row r="31" spans="2:10" x14ac:dyDescent="0.25">
      <c r="B31" s="249" t="s">
        <v>397</v>
      </c>
      <c r="C31" s="250"/>
      <c r="D31" s="261">
        <f>SUM(D29:D30)</f>
        <v>8.9764677777687663</v>
      </c>
      <c r="E31" s="261">
        <f t="shared" ref="E31:J31" si="17">SUM(E29:E30)</f>
        <v>18.973366165768891</v>
      </c>
      <c r="F31" s="261">
        <f t="shared" si="17"/>
        <v>45.712047111947463</v>
      </c>
      <c r="G31" s="261">
        <f t="shared" si="17"/>
        <v>105.28876731907049</v>
      </c>
      <c r="H31" s="261">
        <f t="shared" si="17"/>
        <v>171.59296988016519</v>
      </c>
      <c r="I31" s="261">
        <f t="shared" si="17"/>
        <v>210.13460226820217</v>
      </c>
      <c r="J31" s="261">
        <f t="shared" si="17"/>
        <v>210.13460226820217</v>
      </c>
    </row>
    <row r="33" spans="2:10" x14ac:dyDescent="0.25">
      <c r="B33" t="s">
        <v>400</v>
      </c>
      <c r="C33" s="264">
        <f>+Inputs!D7</f>
        <v>1.8571428571428574</v>
      </c>
      <c r="D33" s="253"/>
      <c r="E33" s="253"/>
      <c r="F33" s="253"/>
      <c r="G33" s="253"/>
      <c r="H33" s="253"/>
      <c r="I33" s="253"/>
      <c r="J33" s="253"/>
    </row>
    <row r="34" spans="2:10" x14ac:dyDescent="0.25">
      <c r="C34" s="253"/>
      <c r="D34" s="253"/>
      <c r="E34" s="253"/>
      <c r="F34" s="253"/>
      <c r="G34" s="253"/>
      <c r="H34" s="253"/>
      <c r="I34" s="253"/>
      <c r="J34" s="253"/>
    </row>
    <row r="35" spans="2:10" x14ac:dyDescent="0.25">
      <c r="C35" s="253"/>
      <c r="D35" s="253"/>
      <c r="E35" s="253"/>
      <c r="F35" s="253"/>
      <c r="G35" s="253"/>
      <c r="H35" s="253"/>
      <c r="I35" s="253"/>
      <c r="J35" s="253"/>
    </row>
    <row r="36" spans="2:10" x14ac:dyDescent="0.25">
      <c r="B36" s="247" t="s">
        <v>401</v>
      </c>
      <c r="C36" s="265">
        <f>+Inputs!D10</f>
        <v>0.12</v>
      </c>
      <c r="D36" s="262">
        <f t="shared" ref="D36:I36" si="18">D29*$C$36*3/12</f>
        <v>0.17504112166649097</v>
      </c>
      <c r="E36" s="262">
        <f t="shared" si="18"/>
        <v>0.36998064023249339</v>
      </c>
      <c r="F36" s="262">
        <f t="shared" si="18"/>
        <v>0.89138491868297542</v>
      </c>
      <c r="G36" s="262">
        <f t="shared" si="18"/>
        <v>2.0531309627218746</v>
      </c>
      <c r="H36" s="262">
        <f t="shared" si="18"/>
        <v>3.3460629126632209</v>
      </c>
      <c r="I36" s="262">
        <f t="shared" si="18"/>
        <v>4.0976247442299423</v>
      </c>
      <c r="J36" s="262">
        <f>SUM(D36:I36)</f>
        <v>10.933225300196998</v>
      </c>
    </row>
    <row r="37" spans="2:10" x14ac:dyDescent="0.25">
      <c r="C37" s="253"/>
      <c r="D37" s="264">
        <f>D36-D20</f>
        <v>3.3447411857401299E-6</v>
      </c>
      <c r="E37" s="264">
        <f t="shared" ref="E37:I37" si="19">E36-E20</f>
        <v>7.2522323681933898E-6</v>
      </c>
      <c r="F37" s="264">
        <f t="shared" si="19"/>
        <v>1.1722504406619372E-5</v>
      </c>
      <c r="G37" s="264">
        <f t="shared" si="19"/>
        <v>1.6755598850171083E-5</v>
      </c>
      <c r="H37" s="264">
        <f t="shared" si="19"/>
        <v>2.2351568543577116E-5</v>
      </c>
      <c r="I37" s="264">
        <f t="shared" si="19"/>
        <v>4.4277002607451266E-5</v>
      </c>
      <c r="J37" s="253"/>
    </row>
    <row r="38" spans="2:10" x14ac:dyDescent="0.25">
      <c r="C38" s="253"/>
      <c r="D38" s="253"/>
      <c r="E38" s="253"/>
      <c r="F38" s="253"/>
      <c r="G38" s="253"/>
      <c r="H38" s="253"/>
      <c r="I38" s="253"/>
      <c r="J38" s="253"/>
    </row>
    <row r="39" spans="2:10" x14ac:dyDescent="0.25">
      <c r="B39" s="247" t="s">
        <v>382</v>
      </c>
      <c r="C39" s="265">
        <f>+Inputs!D8</f>
        <v>5.0000000000000001E-3</v>
      </c>
      <c r="D39" s="262">
        <f>C39*J29</f>
        <v>0.68293745737165712</v>
      </c>
      <c r="E39" s="253"/>
      <c r="F39" s="253"/>
      <c r="G39" s="253"/>
      <c r="H39" s="253"/>
      <c r="I39" s="253"/>
      <c r="J39" s="253"/>
    </row>
    <row r="40" spans="2:10" x14ac:dyDescent="0.25">
      <c r="C40" s="253"/>
      <c r="D40" s="264">
        <f>D39-D21</f>
        <v>7.4565281958927088E-6</v>
      </c>
      <c r="E40" s="253"/>
      <c r="F40" s="253"/>
      <c r="G40" s="253"/>
      <c r="H40" s="253"/>
      <c r="I40" s="253"/>
      <c r="J40" s="25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3:E13"/>
  <sheetViews>
    <sheetView zoomScale="130" zoomScaleNormal="130" workbookViewId="0"/>
  </sheetViews>
  <sheetFormatPr defaultRowHeight="15" x14ac:dyDescent="0.25"/>
  <cols>
    <col min="2" max="2" width="28.140625" customWidth="1"/>
    <col min="3" max="4" width="11.5703125" customWidth="1"/>
  </cols>
  <sheetData>
    <row r="3" spans="2:5" x14ac:dyDescent="0.25">
      <c r="B3" t="s">
        <v>405</v>
      </c>
      <c r="C3">
        <v>8</v>
      </c>
    </row>
    <row r="4" spans="2:5" x14ac:dyDescent="0.25">
      <c r="B4" t="s">
        <v>406</v>
      </c>
      <c r="C4">
        <v>3</v>
      </c>
    </row>
    <row r="5" spans="2:5" x14ac:dyDescent="0.25">
      <c r="B5" t="s">
        <v>407</v>
      </c>
      <c r="C5">
        <v>300</v>
      </c>
    </row>
    <row r="9" spans="2:5" x14ac:dyDescent="0.25">
      <c r="E9" s="253" t="s">
        <v>408</v>
      </c>
    </row>
    <row r="10" spans="2:5" x14ac:dyDescent="0.25">
      <c r="B10" s="258" t="s">
        <v>186</v>
      </c>
      <c r="C10" s="258" t="s">
        <v>38</v>
      </c>
      <c r="D10" s="258" t="s">
        <v>40</v>
      </c>
      <c r="E10" s="258" t="s">
        <v>41</v>
      </c>
    </row>
    <row r="11" spans="2:5" x14ac:dyDescent="0.25">
      <c r="B11" s="256" t="s">
        <v>411</v>
      </c>
      <c r="C11" s="256">
        <v>25</v>
      </c>
      <c r="D11" s="256">
        <v>6.25</v>
      </c>
      <c r="E11" s="256">
        <v>12.5</v>
      </c>
    </row>
    <row r="12" spans="2:5" x14ac:dyDescent="0.25">
      <c r="B12" s="256" t="s">
        <v>409</v>
      </c>
      <c r="C12" s="256">
        <f>C11*($C$3*$C$4)</f>
        <v>600</v>
      </c>
      <c r="D12" s="256">
        <f t="shared" ref="D12:E12" si="0">D11*($C$3*$C$4)</f>
        <v>150</v>
      </c>
      <c r="E12" s="256">
        <f t="shared" si="0"/>
        <v>300</v>
      </c>
    </row>
    <row r="13" spans="2:5" x14ac:dyDescent="0.25">
      <c r="B13" s="256" t="s">
        <v>410</v>
      </c>
      <c r="C13" s="256">
        <f>C12*$C$5</f>
        <v>180000</v>
      </c>
      <c r="D13" s="256">
        <f t="shared" ref="D13:E13" si="1">D12*$C$5</f>
        <v>45000</v>
      </c>
      <c r="E13" s="256">
        <f t="shared" si="1"/>
        <v>90000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2:L54"/>
  <sheetViews>
    <sheetView showGridLines="0" topLeftCell="A37" zoomScale="120" zoomScaleNormal="120" workbookViewId="0">
      <selection activeCell="H54" sqref="H54"/>
    </sheetView>
  </sheetViews>
  <sheetFormatPr defaultRowHeight="15" x14ac:dyDescent="0.25"/>
  <cols>
    <col min="2" max="2" width="21.5703125" bestFit="1" customWidth="1"/>
    <col min="3" max="3" width="16" customWidth="1"/>
    <col min="4" max="4" width="14.140625" bestFit="1" customWidth="1"/>
    <col min="5" max="12" width="10.5703125" bestFit="1" customWidth="1"/>
  </cols>
  <sheetData>
    <row r="2" spans="2:12" ht="15.75" thickBot="1" x14ac:dyDescent="0.3"/>
    <row r="3" spans="2:12" x14ac:dyDescent="0.25">
      <c r="B3" s="274" t="s">
        <v>108</v>
      </c>
      <c r="C3" s="275" t="s">
        <v>415</v>
      </c>
      <c r="D3" s="288">
        <v>45016</v>
      </c>
      <c r="E3" s="288">
        <f>DATE(YEAR(D3)+1,MONTH(D3),DAY((D3)))</f>
        <v>45382</v>
      </c>
      <c r="F3" s="288">
        <f t="shared" ref="F3:L3" si="0">DATE(YEAR(E3)+1,MONTH(E3),DAY((E3)))</f>
        <v>45747</v>
      </c>
      <c r="G3" s="288">
        <f t="shared" si="0"/>
        <v>46112</v>
      </c>
      <c r="H3" s="288">
        <f t="shared" si="0"/>
        <v>46477</v>
      </c>
      <c r="I3" s="288">
        <f t="shared" si="0"/>
        <v>46843</v>
      </c>
      <c r="J3" s="288">
        <f t="shared" si="0"/>
        <v>47208</v>
      </c>
      <c r="K3" s="288">
        <f t="shared" si="0"/>
        <v>47573</v>
      </c>
      <c r="L3" s="289">
        <f t="shared" si="0"/>
        <v>47938</v>
      </c>
    </row>
    <row r="4" spans="2:12" x14ac:dyDescent="0.25">
      <c r="B4" s="379" t="s">
        <v>471</v>
      </c>
      <c r="C4" s="380"/>
      <c r="D4" s="381">
        <v>12</v>
      </c>
      <c r="E4" s="381">
        <f>D4</f>
        <v>12</v>
      </c>
      <c r="F4" s="381">
        <f t="shared" ref="F4:L4" si="1">E4</f>
        <v>12</v>
      </c>
      <c r="G4" s="381">
        <f t="shared" si="1"/>
        <v>12</v>
      </c>
      <c r="H4" s="381">
        <f t="shared" si="1"/>
        <v>12</v>
      </c>
      <c r="I4" s="381">
        <f t="shared" si="1"/>
        <v>12</v>
      </c>
      <c r="J4" s="381">
        <f t="shared" si="1"/>
        <v>12</v>
      </c>
      <c r="K4" s="381">
        <f t="shared" si="1"/>
        <v>12</v>
      </c>
      <c r="L4" s="381">
        <f t="shared" si="1"/>
        <v>12</v>
      </c>
    </row>
    <row r="5" spans="2:12" x14ac:dyDescent="0.25">
      <c r="B5" s="277"/>
      <c r="C5" s="250"/>
      <c r="D5" s="250"/>
      <c r="E5" s="250"/>
      <c r="F5" s="250"/>
      <c r="G5" s="250"/>
      <c r="H5" s="250"/>
      <c r="I5" s="250"/>
      <c r="J5" s="250"/>
      <c r="K5" s="250"/>
      <c r="L5" s="290"/>
    </row>
    <row r="6" spans="2:12" x14ac:dyDescent="0.25">
      <c r="B6" s="291" t="s">
        <v>412</v>
      </c>
      <c r="C6" s="249"/>
      <c r="D6" s="250"/>
      <c r="E6" s="250"/>
      <c r="F6" s="250"/>
      <c r="G6" s="250"/>
      <c r="H6" s="250"/>
      <c r="I6" s="250"/>
      <c r="J6" s="250"/>
      <c r="K6" s="250"/>
      <c r="L6" s="290"/>
    </row>
    <row r="7" spans="2:12" x14ac:dyDescent="0.25">
      <c r="B7" s="277" t="s">
        <v>38</v>
      </c>
      <c r="C7" s="256" t="s">
        <v>24</v>
      </c>
      <c r="D7" s="250">
        <f>+Capacity!C13</f>
        <v>180000</v>
      </c>
      <c r="E7" s="250">
        <f t="shared" ref="E7:L9" si="2">D7</f>
        <v>180000</v>
      </c>
      <c r="F7" s="250">
        <f t="shared" si="2"/>
        <v>180000</v>
      </c>
      <c r="G7" s="250">
        <f t="shared" si="2"/>
        <v>180000</v>
      </c>
      <c r="H7" s="250">
        <f t="shared" si="2"/>
        <v>180000</v>
      </c>
      <c r="I7" s="250">
        <f t="shared" si="2"/>
        <v>180000</v>
      </c>
      <c r="J7" s="250">
        <f t="shared" si="2"/>
        <v>180000</v>
      </c>
      <c r="K7" s="250">
        <f t="shared" si="2"/>
        <v>180000</v>
      </c>
      <c r="L7" s="290">
        <f t="shared" si="2"/>
        <v>180000</v>
      </c>
    </row>
    <row r="8" spans="2:12" x14ac:dyDescent="0.25">
      <c r="B8" s="277" t="s">
        <v>40</v>
      </c>
      <c r="C8" s="256" t="s">
        <v>24</v>
      </c>
      <c r="D8" s="250">
        <f>+Capacity!D13</f>
        <v>45000</v>
      </c>
      <c r="E8" s="250">
        <f t="shared" si="2"/>
        <v>45000</v>
      </c>
      <c r="F8" s="250">
        <f t="shared" si="2"/>
        <v>45000</v>
      </c>
      <c r="G8" s="250">
        <f t="shared" si="2"/>
        <v>45000</v>
      </c>
      <c r="H8" s="250">
        <f t="shared" si="2"/>
        <v>45000</v>
      </c>
      <c r="I8" s="250">
        <f t="shared" si="2"/>
        <v>45000</v>
      </c>
      <c r="J8" s="250">
        <f t="shared" si="2"/>
        <v>45000</v>
      </c>
      <c r="K8" s="250">
        <f t="shared" si="2"/>
        <v>45000</v>
      </c>
      <c r="L8" s="290">
        <f t="shared" si="2"/>
        <v>45000</v>
      </c>
    </row>
    <row r="9" spans="2:12" x14ac:dyDescent="0.25">
      <c r="B9" s="277" t="s">
        <v>41</v>
      </c>
      <c r="C9" s="256" t="s">
        <v>24</v>
      </c>
      <c r="D9" s="250">
        <f>+Capacity!E13</f>
        <v>90000</v>
      </c>
      <c r="E9" s="250">
        <f t="shared" si="2"/>
        <v>90000</v>
      </c>
      <c r="F9" s="250">
        <f t="shared" si="2"/>
        <v>90000</v>
      </c>
      <c r="G9" s="250">
        <f t="shared" si="2"/>
        <v>90000</v>
      </c>
      <c r="H9" s="250">
        <f t="shared" si="2"/>
        <v>90000</v>
      </c>
      <c r="I9" s="250">
        <f t="shared" si="2"/>
        <v>90000</v>
      </c>
      <c r="J9" s="250">
        <f t="shared" si="2"/>
        <v>90000</v>
      </c>
      <c r="K9" s="250">
        <f t="shared" si="2"/>
        <v>90000</v>
      </c>
      <c r="L9" s="290">
        <f t="shared" si="2"/>
        <v>90000</v>
      </c>
    </row>
    <row r="10" spans="2:12" x14ac:dyDescent="0.25">
      <c r="B10" s="277"/>
      <c r="C10" s="250"/>
      <c r="D10" s="250"/>
      <c r="E10" s="250"/>
      <c r="F10" s="250"/>
      <c r="G10" s="250"/>
      <c r="H10" s="250"/>
      <c r="I10" s="250"/>
      <c r="J10" s="250"/>
      <c r="K10" s="250"/>
      <c r="L10" s="290"/>
    </row>
    <row r="11" spans="2:12" x14ac:dyDescent="0.25">
      <c r="B11" s="291" t="s">
        <v>413</v>
      </c>
      <c r="C11" s="249"/>
      <c r="D11" s="250"/>
      <c r="E11" s="250"/>
      <c r="F11" s="250"/>
      <c r="G11" s="250"/>
      <c r="H11" s="250"/>
      <c r="I11" s="250"/>
      <c r="J11" s="250"/>
      <c r="K11" s="250"/>
      <c r="L11" s="290"/>
    </row>
    <row r="12" spans="2:12" x14ac:dyDescent="0.25">
      <c r="B12" s="277" t="str">
        <f>+B7</f>
        <v>Palm Oil</v>
      </c>
      <c r="C12" s="256" t="s">
        <v>24</v>
      </c>
      <c r="D12" s="286">
        <v>0.5</v>
      </c>
      <c r="E12" s="286">
        <f>+Inputs!D20</f>
        <v>0.6</v>
      </c>
      <c r="F12" s="286">
        <f>+Inputs!D21</f>
        <v>0.7</v>
      </c>
      <c r="G12" s="286">
        <f>+F12+Inputs!$D$22</f>
        <v>0.75</v>
      </c>
      <c r="H12" s="286">
        <f>+G12+Inputs!$D$22</f>
        <v>0.8</v>
      </c>
      <c r="I12" s="286">
        <f>+H12+Inputs!$D$22</f>
        <v>0.85000000000000009</v>
      </c>
      <c r="J12" s="286">
        <f>+I12+Inputs!$D$22</f>
        <v>0.90000000000000013</v>
      </c>
      <c r="K12" s="286">
        <f>+J12+Inputs!$D$22</f>
        <v>0.95000000000000018</v>
      </c>
      <c r="L12" s="292">
        <f>IF(K12+Inputs!$D$22&gt;95%,95%,K12+Inputs!$D$22)</f>
        <v>0.95</v>
      </c>
    </row>
    <row r="13" spans="2:12" x14ac:dyDescent="0.25">
      <c r="B13" s="277" t="str">
        <f t="shared" ref="B13:B14" si="3">+B8</f>
        <v>Mustard Oil</v>
      </c>
      <c r="C13" s="256" t="s">
        <v>24</v>
      </c>
      <c r="D13" s="286">
        <f>D12</f>
        <v>0.5</v>
      </c>
      <c r="E13" s="286">
        <f t="shared" ref="E13:L14" si="4">E12</f>
        <v>0.6</v>
      </c>
      <c r="F13" s="286">
        <f t="shared" si="4"/>
        <v>0.7</v>
      </c>
      <c r="G13" s="286">
        <f t="shared" si="4"/>
        <v>0.75</v>
      </c>
      <c r="H13" s="286">
        <f t="shared" si="4"/>
        <v>0.8</v>
      </c>
      <c r="I13" s="286">
        <f t="shared" si="4"/>
        <v>0.85000000000000009</v>
      </c>
      <c r="J13" s="286">
        <f t="shared" si="4"/>
        <v>0.90000000000000013</v>
      </c>
      <c r="K13" s="286">
        <f t="shared" si="4"/>
        <v>0.95000000000000018</v>
      </c>
      <c r="L13" s="292">
        <f t="shared" si="4"/>
        <v>0.95</v>
      </c>
    </row>
    <row r="14" spans="2:12" x14ac:dyDescent="0.25">
      <c r="B14" s="277" t="str">
        <f t="shared" si="3"/>
        <v>Soft Oil</v>
      </c>
      <c r="C14" s="256" t="s">
        <v>24</v>
      </c>
      <c r="D14" s="286">
        <f>D13</f>
        <v>0.5</v>
      </c>
      <c r="E14" s="286">
        <f t="shared" si="4"/>
        <v>0.6</v>
      </c>
      <c r="F14" s="286">
        <f t="shared" si="4"/>
        <v>0.7</v>
      </c>
      <c r="G14" s="286">
        <f t="shared" si="4"/>
        <v>0.75</v>
      </c>
      <c r="H14" s="286">
        <f t="shared" si="4"/>
        <v>0.8</v>
      </c>
      <c r="I14" s="286">
        <f t="shared" si="4"/>
        <v>0.85000000000000009</v>
      </c>
      <c r="J14" s="286">
        <f t="shared" si="4"/>
        <v>0.90000000000000013</v>
      </c>
      <c r="K14" s="286">
        <f t="shared" si="4"/>
        <v>0.95000000000000018</v>
      </c>
      <c r="L14" s="292">
        <f t="shared" si="4"/>
        <v>0.95</v>
      </c>
    </row>
    <row r="15" spans="2:12" x14ac:dyDescent="0.25">
      <c r="B15" s="277"/>
      <c r="C15" s="250"/>
      <c r="D15" s="250"/>
      <c r="E15" s="250"/>
      <c r="F15" s="250"/>
      <c r="G15" s="250"/>
      <c r="H15" s="250"/>
      <c r="I15" s="250"/>
      <c r="J15" s="250"/>
      <c r="K15" s="250"/>
      <c r="L15" s="290"/>
    </row>
    <row r="16" spans="2:12" x14ac:dyDescent="0.25">
      <c r="B16" s="291" t="s">
        <v>414</v>
      </c>
      <c r="C16" s="249"/>
      <c r="D16" s="250"/>
      <c r="E16" s="250"/>
      <c r="F16" s="250"/>
      <c r="G16" s="250"/>
      <c r="H16" s="250"/>
      <c r="I16" s="250"/>
      <c r="J16" s="250"/>
      <c r="K16" s="250"/>
      <c r="L16" s="290"/>
    </row>
    <row r="17" spans="2:12" x14ac:dyDescent="0.25">
      <c r="B17" s="277" t="str">
        <f>B12</f>
        <v>Palm Oil</v>
      </c>
      <c r="C17" s="256" t="s">
        <v>24</v>
      </c>
      <c r="D17" s="250">
        <f>+D7*D12</f>
        <v>90000</v>
      </c>
      <c r="E17" s="250">
        <f t="shared" ref="E17:L17" si="5">+E7*E12</f>
        <v>108000</v>
      </c>
      <c r="F17" s="250">
        <f t="shared" si="5"/>
        <v>125999.99999999999</v>
      </c>
      <c r="G17" s="250">
        <f t="shared" si="5"/>
        <v>135000</v>
      </c>
      <c r="H17" s="250">
        <f t="shared" si="5"/>
        <v>144000</v>
      </c>
      <c r="I17" s="250">
        <f t="shared" si="5"/>
        <v>153000.00000000003</v>
      </c>
      <c r="J17" s="250">
        <f t="shared" si="5"/>
        <v>162000.00000000003</v>
      </c>
      <c r="K17" s="250">
        <f t="shared" si="5"/>
        <v>171000.00000000003</v>
      </c>
      <c r="L17" s="290">
        <f t="shared" si="5"/>
        <v>171000</v>
      </c>
    </row>
    <row r="18" spans="2:12" x14ac:dyDescent="0.25">
      <c r="B18" s="277" t="str">
        <f>B13</f>
        <v>Mustard Oil</v>
      </c>
      <c r="C18" s="256" t="s">
        <v>24</v>
      </c>
      <c r="D18" s="250">
        <f t="shared" ref="D18:L18" si="6">+D8*D13</f>
        <v>22500</v>
      </c>
      <c r="E18" s="250">
        <f t="shared" si="6"/>
        <v>27000</v>
      </c>
      <c r="F18" s="250">
        <f t="shared" si="6"/>
        <v>31499.999999999996</v>
      </c>
      <c r="G18" s="250">
        <f t="shared" si="6"/>
        <v>33750</v>
      </c>
      <c r="H18" s="250">
        <f t="shared" si="6"/>
        <v>36000</v>
      </c>
      <c r="I18" s="250">
        <f t="shared" si="6"/>
        <v>38250.000000000007</v>
      </c>
      <c r="J18" s="250">
        <f t="shared" si="6"/>
        <v>40500.000000000007</v>
      </c>
      <c r="K18" s="250">
        <f t="shared" si="6"/>
        <v>42750.000000000007</v>
      </c>
      <c r="L18" s="290">
        <f t="shared" si="6"/>
        <v>42750</v>
      </c>
    </row>
    <row r="19" spans="2:12" x14ac:dyDescent="0.25">
      <c r="B19" s="277" t="str">
        <f>B14</f>
        <v>Soft Oil</v>
      </c>
      <c r="C19" s="256" t="s">
        <v>24</v>
      </c>
      <c r="D19" s="250">
        <f t="shared" ref="D19:L19" si="7">+D9*D14</f>
        <v>45000</v>
      </c>
      <c r="E19" s="250">
        <f t="shared" si="7"/>
        <v>54000</v>
      </c>
      <c r="F19" s="250">
        <f t="shared" si="7"/>
        <v>62999.999999999993</v>
      </c>
      <c r="G19" s="250">
        <f t="shared" si="7"/>
        <v>67500</v>
      </c>
      <c r="H19" s="250">
        <f t="shared" si="7"/>
        <v>72000</v>
      </c>
      <c r="I19" s="250">
        <f t="shared" si="7"/>
        <v>76500.000000000015</v>
      </c>
      <c r="J19" s="250">
        <f t="shared" si="7"/>
        <v>81000.000000000015</v>
      </c>
      <c r="K19" s="250">
        <f t="shared" si="7"/>
        <v>85500.000000000015</v>
      </c>
      <c r="L19" s="290">
        <f t="shared" si="7"/>
        <v>85500</v>
      </c>
    </row>
    <row r="20" spans="2:12" x14ac:dyDescent="0.25">
      <c r="B20" s="277"/>
      <c r="C20" s="250"/>
      <c r="D20" s="250"/>
      <c r="E20" s="250"/>
      <c r="F20" s="250"/>
      <c r="G20" s="250"/>
      <c r="H20" s="250"/>
      <c r="I20" s="250"/>
      <c r="J20" s="250"/>
      <c r="K20" s="250"/>
      <c r="L20" s="290"/>
    </row>
    <row r="21" spans="2:12" x14ac:dyDescent="0.25">
      <c r="B21" s="291" t="s">
        <v>416</v>
      </c>
      <c r="C21" s="250"/>
      <c r="D21" s="250"/>
      <c r="E21" s="250"/>
      <c r="F21" s="250"/>
      <c r="G21" s="250"/>
      <c r="H21" s="250"/>
      <c r="I21" s="250"/>
      <c r="J21" s="250"/>
      <c r="K21" s="250"/>
      <c r="L21" s="290"/>
    </row>
    <row r="22" spans="2:12" x14ac:dyDescent="0.25">
      <c r="B22" s="277" t="str">
        <f>+B17</f>
        <v>Palm Oil</v>
      </c>
      <c r="C22" s="256" t="s">
        <v>24</v>
      </c>
      <c r="D22" s="250">
        <v>0</v>
      </c>
      <c r="E22" s="250">
        <f>D27</f>
        <v>1500</v>
      </c>
      <c r="F22" s="250">
        <f t="shared" ref="F22:L22" si="8">E27</f>
        <v>1800</v>
      </c>
      <c r="G22" s="250">
        <f t="shared" si="8"/>
        <v>2099.9999999999995</v>
      </c>
      <c r="H22" s="250">
        <f t="shared" si="8"/>
        <v>2250</v>
      </c>
      <c r="I22" s="250">
        <f t="shared" si="8"/>
        <v>2400</v>
      </c>
      <c r="J22" s="250">
        <f t="shared" si="8"/>
        <v>2550.0000000000005</v>
      </c>
      <c r="K22" s="250">
        <f t="shared" si="8"/>
        <v>2700.0000000000005</v>
      </c>
      <c r="L22" s="290">
        <f t="shared" si="8"/>
        <v>2850.0000000000005</v>
      </c>
    </row>
    <row r="23" spans="2:12" x14ac:dyDescent="0.25">
      <c r="B23" s="277" t="str">
        <f>+B18</f>
        <v>Mustard Oil</v>
      </c>
      <c r="C23" s="256" t="s">
        <v>24</v>
      </c>
      <c r="D23" s="250">
        <v>0</v>
      </c>
      <c r="E23" s="250">
        <f t="shared" ref="E23:L24" si="9">D28</f>
        <v>375</v>
      </c>
      <c r="F23" s="250">
        <f t="shared" si="9"/>
        <v>450</v>
      </c>
      <c r="G23" s="250">
        <f t="shared" si="9"/>
        <v>524.99999999999989</v>
      </c>
      <c r="H23" s="250">
        <f t="shared" si="9"/>
        <v>562.5</v>
      </c>
      <c r="I23" s="250">
        <f t="shared" si="9"/>
        <v>600</v>
      </c>
      <c r="J23" s="250">
        <f t="shared" si="9"/>
        <v>637.50000000000011</v>
      </c>
      <c r="K23" s="250">
        <f t="shared" si="9"/>
        <v>675.00000000000011</v>
      </c>
      <c r="L23" s="290">
        <f t="shared" si="9"/>
        <v>712.50000000000011</v>
      </c>
    </row>
    <row r="24" spans="2:12" x14ac:dyDescent="0.25">
      <c r="B24" s="277" t="str">
        <f>+B19</f>
        <v>Soft Oil</v>
      </c>
      <c r="C24" s="256" t="s">
        <v>24</v>
      </c>
      <c r="D24" s="250">
        <v>0</v>
      </c>
      <c r="E24" s="250">
        <f t="shared" si="9"/>
        <v>750</v>
      </c>
      <c r="F24" s="250">
        <f t="shared" si="9"/>
        <v>900</v>
      </c>
      <c r="G24" s="250">
        <f t="shared" si="9"/>
        <v>1049.9999999999998</v>
      </c>
      <c r="H24" s="250">
        <f t="shared" si="9"/>
        <v>1125</v>
      </c>
      <c r="I24" s="250">
        <f t="shared" si="9"/>
        <v>1200</v>
      </c>
      <c r="J24" s="250">
        <f t="shared" si="9"/>
        <v>1275.0000000000002</v>
      </c>
      <c r="K24" s="250">
        <f t="shared" si="9"/>
        <v>1350.0000000000002</v>
      </c>
      <c r="L24" s="290">
        <f t="shared" si="9"/>
        <v>1425.0000000000002</v>
      </c>
    </row>
    <row r="25" spans="2:12" x14ac:dyDescent="0.25">
      <c r="B25" s="277"/>
      <c r="C25" s="250"/>
      <c r="D25" s="250"/>
      <c r="E25" s="250"/>
      <c r="F25" s="250"/>
      <c r="G25" s="250"/>
      <c r="H25" s="250"/>
      <c r="I25" s="250"/>
      <c r="J25" s="250"/>
      <c r="K25" s="250"/>
      <c r="L25" s="290"/>
    </row>
    <row r="26" spans="2:12" x14ac:dyDescent="0.25">
      <c r="B26" s="291" t="s">
        <v>417</v>
      </c>
      <c r="C26" s="250"/>
      <c r="D26" s="250"/>
      <c r="E26" s="250"/>
      <c r="F26" s="250"/>
      <c r="G26" s="250"/>
      <c r="H26" s="250"/>
      <c r="I26" s="250"/>
      <c r="J26" s="250"/>
      <c r="K26" s="250"/>
      <c r="L26" s="290"/>
    </row>
    <row r="27" spans="2:12" x14ac:dyDescent="0.25">
      <c r="B27" s="277" t="str">
        <f>+B22</f>
        <v>Palm Oil</v>
      </c>
      <c r="C27" s="256" t="s">
        <v>24</v>
      </c>
      <c r="D27" s="250">
        <f>-D17/D$4*WC!$D$13</f>
        <v>1500</v>
      </c>
      <c r="E27" s="250">
        <f>-E17/E$4*WC!$D$13</f>
        <v>1800</v>
      </c>
      <c r="F27" s="250">
        <f>-F17/F$4*WC!$D$13</f>
        <v>2099.9999999999995</v>
      </c>
      <c r="G27" s="250">
        <f>-G17/G$4*WC!$D$13</f>
        <v>2250</v>
      </c>
      <c r="H27" s="250">
        <f>-H17/H$4*WC!$D$13</f>
        <v>2400</v>
      </c>
      <c r="I27" s="250">
        <f>-I17/I$4*WC!$D$13</f>
        <v>2550.0000000000005</v>
      </c>
      <c r="J27" s="250">
        <f>-J17/J$4*WC!$D$13</f>
        <v>2700.0000000000005</v>
      </c>
      <c r="K27" s="250">
        <f>-K17/K$4*WC!$D$13</f>
        <v>2850.0000000000005</v>
      </c>
      <c r="L27" s="250">
        <f>-L17/L$4*WC!$D$13</f>
        <v>2850</v>
      </c>
    </row>
    <row r="28" spans="2:12" x14ac:dyDescent="0.25">
      <c r="B28" s="277" t="str">
        <f>+B23</f>
        <v>Mustard Oil</v>
      </c>
      <c r="C28" s="256" t="s">
        <v>24</v>
      </c>
      <c r="D28" s="250">
        <f>-D18/D$4*WC!$D$13</f>
        <v>375</v>
      </c>
      <c r="E28" s="250">
        <f>-E18/E$4*WC!$D$13</f>
        <v>450</v>
      </c>
      <c r="F28" s="250">
        <f>-F18/F$4*WC!$D$13</f>
        <v>524.99999999999989</v>
      </c>
      <c r="G28" s="250">
        <f>-G18/G$4*WC!$D$13</f>
        <v>562.5</v>
      </c>
      <c r="H28" s="250">
        <f>-H18/H$4*WC!$D$13</f>
        <v>600</v>
      </c>
      <c r="I28" s="250">
        <f>-I18/I$4*WC!$D$13</f>
        <v>637.50000000000011</v>
      </c>
      <c r="J28" s="250">
        <f>-J18/J$4*WC!$D$13</f>
        <v>675.00000000000011</v>
      </c>
      <c r="K28" s="250">
        <f>-K18/K$4*WC!$D$13</f>
        <v>712.50000000000011</v>
      </c>
      <c r="L28" s="250">
        <f>-L18/L$4*WC!$D$13</f>
        <v>712.5</v>
      </c>
    </row>
    <row r="29" spans="2:12" x14ac:dyDescent="0.25">
      <c r="B29" s="277" t="str">
        <f>+B24</f>
        <v>Soft Oil</v>
      </c>
      <c r="C29" s="256" t="s">
        <v>24</v>
      </c>
      <c r="D29" s="250">
        <f>-D19/D$4*WC!$D$13</f>
        <v>750</v>
      </c>
      <c r="E29" s="250">
        <f>-E19/E$4*WC!$D$13</f>
        <v>900</v>
      </c>
      <c r="F29" s="250">
        <f>-F19/F$4*WC!$D$13</f>
        <v>1049.9999999999998</v>
      </c>
      <c r="G29" s="250">
        <f>-G19/G$4*WC!$D$13</f>
        <v>1125</v>
      </c>
      <c r="H29" s="250">
        <f>-H19/H$4*WC!$D$13</f>
        <v>1200</v>
      </c>
      <c r="I29" s="250">
        <f>-I19/I$4*WC!$D$13</f>
        <v>1275.0000000000002</v>
      </c>
      <c r="J29" s="250">
        <f>-J19/J$4*WC!$D$13</f>
        <v>1350.0000000000002</v>
      </c>
      <c r="K29" s="250">
        <f>-K19/K$4*WC!$D$13</f>
        <v>1425.0000000000002</v>
      </c>
      <c r="L29" s="250">
        <f>-L19/L$4*WC!$D$13</f>
        <v>1425</v>
      </c>
    </row>
    <row r="30" spans="2:12" x14ac:dyDescent="0.25">
      <c r="B30" s="277"/>
      <c r="C30" s="250"/>
      <c r="D30" s="250"/>
      <c r="E30" s="250"/>
      <c r="F30" s="250"/>
      <c r="G30" s="250"/>
      <c r="H30" s="250"/>
      <c r="I30" s="250"/>
      <c r="J30" s="250"/>
      <c r="K30" s="250"/>
      <c r="L30" s="290"/>
    </row>
    <row r="31" spans="2:12" x14ac:dyDescent="0.25">
      <c r="B31" s="291" t="s">
        <v>418</v>
      </c>
      <c r="C31" s="250"/>
      <c r="D31" s="250"/>
      <c r="E31" s="250"/>
      <c r="F31" s="250"/>
      <c r="G31" s="250"/>
      <c r="H31" s="250"/>
      <c r="I31" s="250"/>
      <c r="J31" s="250"/>
      <c r="K31" s="250"/>
      <c r="L31" s="290"/>
    </row>
    <row r="32" spans="2:12" x14ac:dyDescent="0.25">
      <c r="B32" s="277" t="str">
        <f>+B27</f>
        <v>Palm Oil</v>
      </c>
      <c r="C32" s="256" t="s">
        <v>24</v>
      </c>
      <c r="D32" s="250">
        <f>+D17+D22-D27</f>
        <v>88500</v>
      </c>
      <c r="E32" s="250">
        <f t="shared" ref="E32:L32" si="10">+E17+E22-E27</f>
        <v>107700</v>
      </c>
      <c r="F32" s="250">
        <f t="shared" si="10"/>
        <v>125699.99999999999</v>
      </c>
      <c r="G32" s="250">
        <f t="shared" si="10"/>
        <v>134850</v>
      </c>
      <c r="H32" s="250">
        <f t="shared" si="10"/>
        <v>143850</v>
      </c>
      <c r="I32" s="250">
        <f t="shared" si="10"/>
        <v>152850.00000000003</v>
      </c>
      <c r="J32" s="250">
        <f t="shared" si="10"/>
        <v>161850.00000000003</v>
      </c>
      <c r="K32" s="250">
        <f t="shared" si="10"/>
        <v>170850.00000000003</v>
      </c>
      <c r="L32" s="290">
        <f t="shared" si="10"/>
        <v>171000</v>
      </c>
    </row>
    <row r="33" spans="2:12" x14ac:dyDescent="0.25">
      <c r="B33" s="277" t="str">
        <f>+B28</f>
        <v>Mustard Oil</v>
      </c>
      <c r="C33" s="256" t="s">
        <v>24</v>
      </c>
      <c r="D33" s="250">
        <f t="shared" ref="D33:L33" si="11">+D18+D23-D28</f>
        <v>22125</v>
      </c>
      <c r="E33" s="250">
        <f t="shared" si="11"/>
        <v>26925</v>
      </c>
      <c r="F33" s="250">
        <f t="shared" si="11"/>
        <v>31424.999999999996</v>
      </c>
      <c r="G33" s="250">
        <f t="shared" si="11"/>
        <v>33712.5</v>
      </c>
      <c r="H33" s="250">
        <f t="shared" si="11"/>
        <v>35962.5</v>
      </c>
      <c r="I33" s="250">
        <f t="shared" si="11"/>
        <v>38212.500000000007</v>
      </c>
      <c r="J33" s="250">
        <f t="shared" si="11"/>
        <v>40462.500000000007</v>
      </c>
      <c r="K33" s="250">
        <f t="shared" si="11"/>
        <v>42712.500000000007</v>
      </c>
      <c r="L33" s="290">
        <f t="shared" si="11"/>
        <v>42750</v>
      </c>
    </row>
    <row r="34" spans="2:12" x14ac:dyDescent="0.25">
      <c r="B34" s="277" t="str">
        <f>+B29</f>
        <v>Soft Oil</v>
      </c>
      <c r="C34" s="256" t="s">
        <v>24</v>
      </c>
      <c r="D34" s="250">
        <f t="shared" ref="D34:L34" si="12">+D19+D24-D29</f>
        <v>44250</v>
      </c>
      <c r="E34" s="250">
        <f t="shared" si="12"/>
        <v>53850</v>
      </c>
      <c r="F34" s="250">
        <f t="shared" si="12"/>
        <v>62849.999999999993</v>
      </c>
      <c r="G34" s="250">
        <f t="shared" si="12"/>
        <v>67425</v>
      </c>
      <c r="H34" s="250">
        <f t="shared" si="12"/>
        <v>71925</v>
      </c>
      <c r="I34" s="250">
        <f t="shared" si="12"/>
        <v>76425.000000000015</v>
      </c>
      <c r="J34" s="250">
        <f t="shared" si="12"/>
        <v>80925.000000000015</v>
      </c>
      <c r="K34" s="250">
        <f t="shared" si="12"/>
        <v>85425.000000000015</v>
      </c>
      <c r="L34" s="290">
        <f t="shared" si="12"/>
        <v>85500</v>
      </c>
    </row>
    <row r="35" spans="2:12" x14ac:dyDescent="0.25">
      <c r="B35" s="277"/>
      <c r="C35" s="250"/>
      <c r="D35" s="250"/>
      <c r="E35" s="250"/>
      <c r="F35" s="250"/>
      <c r="G35" s="250"/>
      <c r="H35" s="250"/>
      <c r="I35" s="250"/>
      <c r="J35" s="250"/>
      <c r="K35" s="250"/>
      <c r="L35" s="290"/>
    </row>
    <row r="36" spans="2:12" x14ac:dyDescent="0.25">
      <c r="B36" s="291" t="s">
        <v>419</v>
      </c>
      <c r="C36" s="250"/>
      <c r="D36" s="250"/>
      <c r="E36" s="250"/>
      <c r="F36" s="250"/>
      <c r="G36" s="250"/>
      <c r="H36" s="250"/>
      <c r="I36" s="250"/>
      <c r="J36" s="250"/>
      <c r="K36" s="250"/>
      <c r="L36" s="290"/>
    </row>
    <row r="37" spans="2:12" x14ac:dyDescent="0.25">
      <c r="B37" s="277" t="str">
        <f>+B32</f>
        <v>Palm Oil</v>
      </c>
      <c r="C37" s="256" t="s">
        <v>420</v>
      </c>
      <c r="D37" s="250">
        <f>+Inputs!D24</f>
        <v>52750</v>
      </c>
      <c r="E37" s="287">
        <f>+D37*(1+Inputs!$D$30)</f>
        <v>53409.375</v>
      </c>
      <c r="F37" s="287">
        <f>+E37*(1+Inputs!$D$30)</f>
        <v>54076.9921875</v>
      </c>
      <c r="G37" s="287">
        <f>+F37*(1+Inputs!$D$30)</f>
        <v>54752.95458984375</v>
      </c>
      <c r="H37" s="287">
        <f>+G37*(1+Inputs!$D$30)</f>
        <v>55437.366522216791</v>
      </c>
      <c r="I37" s="287">
        <f>+H37*(1+Inputs!$D$30)</f>
        <v>56130.333603744497</v>
      </c>
      <c r="J37" s="287">
        <f>+I37*(1+Inputs!$D$30)</f>
        <v>56831.962773791303</v>
      </c>
      <c r="K37" s="287">
        <f>+J37*(1+Inputs!$D$30)</f>
        <v>57542.362308463693</v>
      </c>
      <c r="L37" s="293">
        <f>+K37*(1+Inputs!$D$30)</f>
        <v>58261.641837319483</v>
      </c>
    </row>
    <row r="38" spans="2:12" x14ac:dyDescent="0.25">
      <c r="B38" s="277" t="str">
        <f>+B33</f>
        <v>Mustard Oil</v>
      </c>
      <c r="C38" s="256" t="s">
        <v>420</v>
      </c>
      <c r="D38" s="250">
        <f>+Inputs!D25</f>
        <v>72750</v>
      </c>
      <c r="E38" s="287">
        <f>+D38*(1+Inputs!$D$30)</f>
        <v>73659.375</v>
      </c>
      <c r="F38" s="287">
        <f>+E38*(1+Inputs!$D$30)</f>
        <v>74580.1171875</v>
      </c>
      <c r="G38" s="287">
        <f>+F38*(1+Inputs!$D$30)</f>
        <v>75512.36865234375</v>
      </c>
      <c r="H38" s="287">
        <f>+G38*(1+Inputs!$D$30)</f>
        <v>76456.273260498041</v>
      </c>
      <c r="I38" s="287">
        <f>+H38*(1+Inputs!$D$30)</f>
        <v>77411.976676254257</v>
      </c>
      <c r="J38" s="287">
        <f>+I38*(1+Inputs!$D$30)</f>
        <v>78379.62638470743</v>
      </c>
      <c r="K38" s="287">
        <f>+J38*(1+Inputs!$D$30)</f>
        <v>79359.371714516266</v>
      </c>
      <c r="L38" s="293">
        <f>+K38*(1+Inputs!$D$30)</f>
        <v>80351.36386094772</v>
      </c>
    </row>
    <row r="39" spans="2:12" x14ac:dyDescent="0.25">
      <c r="B39" s="277" t="str">
        <f>+B34</f>
        <v>Soft Oil</v>
      </c>
      <c r="C39" s="256" t="s">
        <v>420</v>
      </c>
      <c r="D39" s="250">
        <f>+Inputs!D26</f>
        <v>62750</v>
      </c>
      <c r="E39" s="287">
        <f>+D39*(1+Inputs!$D$30)</f>
        <v>63534.375</v>
      </c>
      <c r="F39" s="287">
        <f>+E39*(1+Inputs!$D$30)</f>
        <v>64328.5546875</v>
      </c>
      <c r="G39" s="287">
        <f>+F39*(1+Inputs!$D$30)</f>
        <v>65132.66162109375</v>
      </c>
      <c r="H39" s="287">
        <f>+G39*(1+Inputs!$D$30)</f>
        <v>65946.819891357416</v>
      </c>
      <c r="I39" s="287">
        <f>+H39*(1+Inputs!$D$30)</f>
        <v>66771.155139999377</v>
      </c>
      <c r="J39" s="287">
        <f>+I39*(1+Inputs!$D$30)</f>
        <v>67605.79457924937</v>
      </c>
      <c r="K39" s="287">
        <f>+J39*(1+Inputs!$D$30)</f>
        <v>68450.867011489987</v>
      </c>
      <c r="L39" s="293">
        <f>+K39*(1+Inputs!$D$30)</f>
        <v>69306.502849133612</v>
      </c>
    </row>
    <row r="40" spans="2:12" x14ac:dyDescent="0.25">
      <c r="B40" s="277"/>
      <c r="C40" s="250"/>
      <c r="D40" s="250"/>
      <c r="E40" s="250"/>
      <c r="F40" s="250"/>
      <c r="G40" s="250"/>
      <c r="H40" s="250"/>
      <c r="I40" s="250"/>
      <c r="J40" s="250"/>
      <c r="K40" s="250"/>
      <c r="L40" s="290"/>
    </row>
    <row r="41" spans="2:12" x14ac:dyDescent="0.25">
      <c r="B41" s="291" t="s">
        <v>421</v>
      </c>
      <c r="C41" s="250"/>
      <c r="D41" s="250"/>
      <c r="E41" s="250"/>
      <c r="F41" s="250"/>
      <c r="G41" s="250"/>
      <c r="H41" s="250"/>
      <c r="I41" s="250"/>
      <c r="J41" s="250"/>
      <c r="K41" s="250"/>
      <c r="L41" s="290"/>
    </row>
    <row r="42" spans="2:12" x14ac:dyDescent="0.25">
      <c r="B42" s="277" t="str">
        <f>+B37</f>
        <v>Palm Oil</v>
      </c>
      <c r="C42" s="256" t="s">
        <v>422</v>
      </c>
      <c r="D42" s="251">
        <f>+(D32*D37)/10^7</f>
        <v>466.83749999999998</v>
      </c>
      <c r="E42" s="251">
        <f t="shared" ref="E42:L42" si="13">+(E32*E37)/10^7</f>
        <v>575.21896875000004</v>
      </c>
      <c r="F42" s="251">
        <f t="shared" si="13"/>
        <v>679.74779179687494</v>
      </c>
      <c r="G42" s="251">
        <f t="shared" si="13"/>
        <v>738.34359264404293</v>
      </c>
      <c r="H42" s="251">
        <f t="shared" si="13"/>
        <v>797.46651742208849</v>
      </c>
      <c r="I42" s="251">
        <f t="shared" si="13"/>
        <v>857.9521491332348</v>
      </c>
      <c r="J42" s="251">
        <f t="shared" si="13"/>
        <v>919.82531749381235</v>
      </c>
      <c r="K42" s="251">
        <f t="shared" si="13"/>
        <v>983.11126004010237</v>
      </c>
      <c r="L42" s="294">
        <f t="shared" si="13"/>
        <v>996.27407541816308</v>
      </c>
    </row>
    <row r="43" spans="2:12" x14ac:dyDescent="0.25">
      <c r="B43" s="277" t="str">
        <f>+B38</f>
        <v>Mustard Oil</v>
      </c>
      <c r="C43" s="256" t="s">
        <v>422</v>
      </c>
      <c r="D43" s="251">
        <f t="shared" ref="D43:L43" si="14">+(D33*D38)/10^7</f>
        <v>160.95937499999999</v>
      </c>
      <c r="E43" s="251">
        <f t="shared" si="14"/>
        <v>198.3278671875</v>
      </c>
      <c r="F43" s="251">
        <f t="shared" si="14"/>
        <v>234.3680182617187</v>
      </c>
      <c r="G43" s="251">
        <f t="shared" si="14"/>
        <v>254.57107281921387</v>
      </c>
      <c r="H43" s="251">
        <f t="shared" si="14"/>
        <v>274.95587271306613</v>
      </c>
      <c r="I43" s="251">
        <f t="shared" si="14"/>
        <v>295.81051587413663</v>
      </c>
      <c r="J43" s="251">
        <f t="shared" si="14"/>
        <v>317.14356325912252</v>
      </c>
      <c r="K43" s="251">
        <f t="shared" si="14"/>
        <v>338.96371643562765</v>
      </c>
      <c r="L43" s="294">
        <f t="shared" si="14"/>
        <v>343.50208050555148</v>
      </c>
    </row>
    <row r="44" spans="2:12" x14ac:dyDescent="0.25">
      <c r="B44" s="277" t="str">
        <f>+B39</f>
        <v>Soft Oil</v>
      </c>
      <c r="C44" s="256" t="s">
        <v>422</v>
      </c>
      <c r="D44" s="251">
        <f t="shared" ref="D44:L44" si="15">+(D34*D39)/10^7</f>
        <v>277.66874999999999</v>
      </c>
      <c r="E44" s="251">
        <f t="shared" si="15"/>
        <v>342.13260937500002</v>
      </c>
      <c r="F44" s="251">
        <f t="shared" si="15"/>
        <v>404.30496621093744</v>
      </c>
      <c r="G44" s="251">
        <f t="shared" si="15"/>
        <v>439.15697098022463</v>
      </c>
      <c r="H44" s="251">
        <f t="shared" si="15"/>
        <v>474.32250206858828</v>
      </c>
      <c r="I44" s="251">
        <f t="shared" si="15"/>
        <v>510.29855315744533</v>
      </c>
      <c r="J44" s="251">
        <f t="shared" si="15"/>
        <v>547.09989263257557</v>
      </c>
      <c r="K44" s="251">
        <f t="shared" si="15"/>
        <v>584.74153144565332</v>
      </c>
      <c r="L44" s="294">
        <f t="shared" si="15"/>
        <v>592.57059936009239</v>
      </c>
    </row>
    <row r="45" spans="2:12" x14ac:dyDescent="0.25">
      <c r="B45" s="277"/>
      <c r="C45" s="250"/>
      <c r="D45" s="250"/>
      <c r="E45" s="250"/>
      <c r="F45" s="250"/>
      <c r="G45" s="250"/>
      <c r="H45" s="250"/>
      <c r="I45" s="250"/>
      <c r="J45" s="250"/>
      <c r="K45" s="250"/>
      <c r="L45" s="290"/>
    </row>
    <row r="46" spans="2:12" ht="15.75" thickBot="1" x14ac:dyDescent="0.3">
      <c r="B46" s="295" t="s">
        <v>423</v>
      </c>
      <c r="C46" s="280" t="s">
        <v>422</v>
      </c>
      <c r="D46" s="280">
        <f>SUM(D42:D45)</f>
        <v>905.46562500000005</v>
      </c>
      <c r="E46" s="280">
        <f t="shared" ref="E46:L46" si="16">SUM(E42:E45)</f>
        <v>1115.6794453125001</v>
      </c>
      <c r="F46" s="280">
        <f t="shared" si="16"/>
        <v>1318.420776269531</v>
      </c>
      <c r="G46" s="280">
        <f t="shared" si="16"/>
        <v>1432.0716364434816</v>
      </c>
      <c r="H46" s="280">
        <f t="shared" si="16"/>
        <v>1546.7448922037429</v>
      </c>
      <c r="I46" s="280">
        <f t="shared" si="16"/>
        <v>1664.0612181648166</v>
      </c>
      <c r="J46" s="280">
        <f t="shared" si="16"/>
        <v>1784.0687733855104</v>
      </c>
      <c r="K46" s="280">
        <f t="shared" si="16"/>
        <v>1906.8165079213832</v>
      </c>
      <c r="L46" s="281">
        <f t="shared" si="16"/>
        <v>1932.3467552838069</v>
      </c>
    </row>
    <row r="49" spans="2:12" x14ac:dyDescent="0.25">
      <c r="B49" s="291" t="s">
        <v>506</v>
      </c>
      <c r="C49" s="250"/>
      <c r="D49" s="256"/>
      <c r="E49" s="256"/>
      <c r="F49" s="256"/>
      <c r="G49" s="256"/>
      <c r="H49" s="256"/>
      <c r="I49" s="256"/>
      <c r="J49" s="256"/>
      <c r="K49" s="256"/>
      <c r="L49" s="382"/>
    </row>
    <row r="50" spans="2:12" x14ac:dyDescent="0.25">
      <c r="B50" s="277" t="s">
        <v>42</v>
      </c>
      <c r="C50" s="256" t="s">
        <v>422</v>
      </c>
      <c r="D50" s="260">
        <f>(RM!D20*5%*Inputs!$D27)/10^7</f>
        <v>22.500000000000004</v>
      </c>
      <c r="E50" s="260">
        <f>(RM!E20*5%*Inputs!$D$27)/10^7</f>
        <v>27.000000000000007</v>
      </c>
      <c r="F50" s="260">
        <f>(RM!F20*5%*Inputs!$D$27)/10^7</f>
        <v>31.500000000000007</v>
      </c>
      <c r="G50" s="260">
        <f>(RM!G20*5%*Inputs!$D$27)/10^7</f>
        <v>33.750000000000007</v>
      </c>
      <c r="H50" s="260">
        <f>(RM!H20*5%*Inputs!$D$27)/10^7</f>
        <v>36.000000000000007</v>
      </c>
      <c r="I50" s="260">
        <f>(RM!I20*5%*Inputs!$D$27)/10^7</f>
        <v>38.250000000000014</v>
      </c>
      <c r="J50" s="260">
        <f>(RM!J20*5%*Inputs!$D$27)/10^7</f>
        <v>40.500000000000014</v>
      </c>
      <c r="K50" s="260">
        <f>(RM!K20*5%*Inputs!$D$27)/10^7</f>
        <v>42.750000000000021</v>
      </c>
      <c r="L50" s="260">
        <f>(RM!L20*5%*Inputs!$D$27)/10^7</f>
        <v>42.750000000000014</v>
      </c>
    </row>
    <row r="51" spans="2:12" x14ac:dyDescent="0.25">
      <c r="B51" s="277" t="s">
        <v>43</v>
      </c>
      <c r="C51" s="256" t="s">
        <v>422</v>
      </c>
      <c r="D51" s="260">
        <f>(RM!D21*50%*Inputs!$D28)/10^7</f>
        <v>116.279296875</v>
      </c>
      <c r="E51" s="260">
        <f>(RM!E21*50%*Inputs!$D28)/10^7</f>
        <v>139.53515625</v>
      </c>
      <c r="F51" s="260">
        <f>(RM!F21*50%*Inputs!$D28)/10^7</f>
        <v>162.79101562499997</v>
      </c>
      <c r="G51" s="260">
        <f>(RM!G21*50%*Inputs!$D28)/10^7</f>
        <v>174.4189453125</v>
      </c>
      <c r="H51" s="260">
        <f>(RM!H21*50%*Inputs!$D28)/10^7</f>
        <v>186.046875</v>
      </c>
      <c r="I51" s="260">
        <f>(RM!I21*50%*Inputs!$D28)/10^7</f>
        <v>197.67480468750003</v>
      </c>
      <c r="J51" s="260">
        <f>(RM!J21*50%*Inputs!$D28)/10^7</f>
        <v>209.30273437500003</v>
      </c>
      <c r="K51" s="260">
        <f>(RM!K21*50%*Inputs!$D28)/10^7</f>
        <v>220.93066406250006</v>
      </c>
      <c r="L51" s="260">
        <f>(RM!L21*50%*Inputs!$D28)/10^7</f>
        <v>220.9306640625</v>
      </c>
    </row>
    <row r="52" spans="2:12" x14ac:dyDescent="0.25">
      <c r="B52" s="277" t="s">
        <v>44</v>
      </c>
      <c r="C52" s="256" t="s">
        <v>422</v>
      </c>
      <c r="D52" s="260">
        <f>(RM!D22*1.75%*Inputs!$D29)/10^7</f>
        <v>3.6255288461538471</v>
      </c>
      <c r="E52" s="260">
        <f>(RM!E22*1.75%*Inputs!$D29)/10^7</f>
        <v>4.3506346153846156</v>
      </c>
      <c r="F52" s="260">
        <f>(RM!F22*1.75%*Inputs!$D29)/10^7</f>
        <v>5.0757403846153855</v>
      </c>
      <c r="G52" s="260">
        <f>(RM!G22*1.75%*Inputs!$D29)/10^7</f>
        <v>5.4382932692307699</v>
      </c>
      <c r="H52" s="260">
        <f>(RM!H22*1.75%*Inputs!$D29)/10^7</f>
        <v>5.8008461538461553</v>
      </c>
      <c r="I52" s="260">
        <f>(RM!I22*1.75%*Inputs!$D29)/10^7</f>
        <v>6.1633990384615407</v>
      </c>
      <c r="J52" s="260">
        <f>(RM!J22*1.75%*Inputs!$D29)/10^7</f>
        <v>6.5259519230769261</v>
      </c>
      <c r="K52" s="260">
        <f>(RM!K22*1.75%*Inputs!$D29)/10^7</f>
        <v>6.8885048076923105</v>
      </c>
      <c r="L52" s="260">
        <f>(RM!L22*1.75%*Inputs!$D29)/10^7</f>
        <v>6.8885048076923088</v>
      </c>
    </row>
    <row r="53" spans="2:12" x14ac:dyDescent="0.25">
      <c r="B53" s="277"/>
      <c r="C53" s="250"/>
      <c r="D53" s="256"/>
      <c r="E53" s="256"/>
      <c r="F53" s="256"/>
      <c r="G53" s="256"/>
      <c r="H53" s="256"/>
      <c r="I53" s="256"/>
      <c r="J53" s="256"/>
      <c r="K53" s="256"/>
      <c r="L53" s="382"/>
    </row>
    <row r="54" spans="2:12" ht="15.75" thickBot="1" x14ac:dyDescent="0.3">
      <c r="B54" s="295" t="s">
        <v>423</v>
      </c>
      <c r="C54" s="280" t="s">
        <v>422</v>
      </c>
      <c r="D54" s="280">
        <f>SUM(D50:D53)</f>
        <v>142.40482572115386</v>
      </c>
      <c r="E54" s="280">
        <f t="shared" ref="E54:L54" si="17">SUM(E50:E53)</f>
        <v>170.88579086538462</v>
      </c>
      <c r="F54" s="280">
        <f t="shared" si="17"/>
        <v>199.36675600961536</v>
      </c>
      <c r="G54" s="280">
        <f t="shared" si="17"/>
        <v>213.60723858173077</v>
      </c>
      <c r="H54" s="280">
        <f t="shared" si="17"/>
        <v>227.84772115384615</v>
      </c>
      <c r="I54" s="280">
        <f t="shared" si="17"/>
        <v>242.08820372596159</v>
      </c>
      <c r="J54" s="280">
        <f t="shared" si="17"/>
        <v>256.328686298077</v>
      </c>
      <c r="K54" s="280">
        <f t="shared" si="17"/>
        <v>270.56916887019236</v>
      </c>
      <c r="L54" s="281">
        <f t="shared" si="17"/>
        <v>270.5691688701923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1:L47"/>
  <sheetViews>
    <sheetView topLeftCell="A4" zoomScale="130" zoomScaleNormal="130" workbookViewId="0">
      <selection activeCell="D17" sqref="D17"/>
    </sheetView>
  </sheetViews>
  <sheetFormatPr defaultRowHeight="15" x14ac:dyDescent="0.25"/>
  <cols>
    <col min="2" max="2" width="22.140625" customWidth="1"/>
    <col min="3" max="3" width="9.140625" bestFit="1" customWidth="1"/>
    <col min="4" max="12" width="9.85546875" bestFit="1" customWidth="1"/>
  </cols>
  <sheetData>
    <row r="1" spans="2:12" ht="15.75" thickBot="1" x14ac:dyDescent="0.3"/>
    <row r="2" spans="2:12" ht="15.75" thickBot="1" x14ac:dyDescent="0.3">
      <c r="B2" s="307" t="s">
        <v>453</v>
      </c>
      <c r="C2" s="308"/>
      <c r="D2" s="308"/>
      <c r="E2" s="308"/>
      <c r="F2" s="308"/>
      <c r="G2" s="308"/>
      <c r="H2" s="308"/>
      <c r="I2" s="308"/>
      <c r="J2" s="308"/>
      <c r="K2" s="308"/>
      <c r="L2" s="309"/>
    </row>
    <row r="3" spans="2:12" ht="15.75" thickBot="1" x14ac:dyDescent="0.3"/>
    <row r="4" spans="2:12" x14ac:dyDescent="0.25">
      <c r="B4" s="274" t="s">
        <v>108</v>
      </c>
      <c r="C4" s="275" t="s">
        <v>415</v>
      </c>
      <c r="D4" s="288">
        <v>45016</v>
      </c>
      <c r="E4" s="288">
        <f>DATE(YEAR(D4)+1,MONTH(D4),DAY((D4)))</f>
        <v>45382</v>
      </c>
      <c r="F4" s="288">
        <f t="shared" ref="F4:L4" si="0">DATE(YEAR(E4)+1,MONTH(E4),DAY((E4)))</f>
        <v>45747</v>
      </c>
      <c r="G4" s="288">
        <f t="shared" si="0"/>
        <v>46112</v>
      </c>
      <c r="H4" s="288">
        <f t="shared" si="0"/>
        <v>46477</v>
      </c>
      <c r="I4" s="288">
        <f t="shared" si="0"/>
        <v>46843</v>
      </c>
      <c r="J4" s="288">
        <f t="shared" si="0"/>
        <v>47208</v>
      </c>
      <c r="K4" s="288">
        <f t="shared" si="0"/>
        <v>47573</v>
      </c>
      <c r="L4" s="289">
        <f t="shared" si="0"/>
        <v>47938</v>
      </c>
    </row>
    <row r="5" spans="2:12" x14ac:dyDescent="0.25">
      <c r="B5" s="277"/>
      <c r="C5" s="250"/>
      <c r="D5" s="250"/>
      <c r="E5" s="250"/>
      <c r="F5" s="250"/>
      <c r="G5" s="250"/>
      <c r="H5" s="250"/>
      <c r="I5" s="250"/>
      <c r="J5" s="250"/>
      <c r="K5" s="250"/>
      <c r="L5" s="290"/>
    </row>
    <row r="6" spans="2:12" x14ac:dyDescent="0.25">
      <c r="B6" s="297" t="s">
        <v>414</v>
      </c>
      <c r="C6" s="249"/>
      <c r="D6" s="250"/>
      <c r="E6" s="250"/>
      <c r="F6" s="250"/>
      <c r="G6" s="250"/>
      <c r="H6" s="250"/>
      <c r="I6" s="250"/>
      <c r="J6" s="250"/>
      <c r="K6" s="250"/>
      <c r="L6" s="290"/>
    </row>
    <row r="7" spans="2:12" x14ac:dyDescent="0.25">
      <c r="B7" s="277" t="s">
        <v>38</v>
      </c>
      <c r="C7" s="256" t="s">
        <v>24</v>
      </c>
      <c r="D7" s="250">
        <f>+'Revenue Buildup'!D17</f>
        <v>90000</v>
      </c>
      <c r="E7" s="250">
        <f>+'Revenue Buildup'!E17</f>
        <v>108000</v>
      </c>
      <c r="F7" s="250">
        <f>+'Revenue Buildup'!F17</f>
        <v>125999.99999999999</v>
      </c>
      <c r="G7" s="250">
        <f>+'Revenue Buildup'!G17</f>
        <v>135000</v>
      </c>
      <c r="H7" s="250">
        <f>+'Revenue Buildup'!H17</f>
        <v>144000</v>
      </c>
      <c r="I7" s="250">
        <f>+'Revenue Buildup'!I17</f>
        <v>153000.00000000003</v>
      </c>
      <c r="J7" s="250">
        <f>+'Revenue Buildup'!J17</f>
        <v>162000.00000000003</v>
      </c>
      <c r="K7" s="250">
        <f>+'Revenue Buildup'!K17</f>
        <v>171000.00000000003</v>
      </c>
      <c r="L7" s="290">
        <f>+'Revenue Buildup'!L17</f>
        <v>171000</v>
      </c>
    </row>
    <row r="8" spans="2:12" x14ac:dyDescent="0.25">
      <c r="B8" s="277" t="s">
        <v>40</v>
      </c>
      <c r="C8" s="256" t="s">
        <v>24</v>
      </c>
      <c r="D8" s="250">
        <f>+'Revenue Buildup'!D18</f>
        <v>22500</v>
      </c>
      <c r="E8" s="250">
        <f>+'Revenue Buildup'!E18</f>
        <v>27000</v>
      </c>
      <c r="F8" s="250">
        <f>+'Revenue Buildup'!F18</f>
        <v>31499.999999999996</v>
      </c>
      <c r="G8" s="250">
        <f>+'Revenue Buildup'!G18</f>
        <v>33750</v>
      </c>
      <c r="H8" s="250">
        <f>+'Revenue Buildup'!H18</f>
        <v>36000</v>
      </c>
      <c r="I8" s="250">
        <f>+'Revenue Buildup'!I18</f>
        <v>38250.000000000007</v>
      </c>
      <c r="J8" s="250">
        <f>+'Revenue Buildup'!J18</f>
        <v>40500.000000000007</v>
      </c>
      <c r="K8" s="250">
        <f>+'Revenue Buildup'!K18</f>
        <v>42750.000000000007</v>
      </c>
      <c r="L8" s="290">
        <f>+'Revenue Buildup'!L18</f>
        <v>42750</v>
      </c>
    </row>
    <row r="9" spans="2:12" x14ac:dyDescent="0.25">
      <c r="B9" s="277" t="s">
        <v>41</v>
      </c>
      <c r="C9" s="256" t="s">
        <v>24</v>
      </c>
      <c r="D9" s="250">
        <f>+'Revenue Buildup'!D19</f>
        <v>45000</v>
      </c>
      <c r="E9" s="250">
        <f>+'Revenue Buildup'!E19</f>
        <v>54000</v>
      </c>
      <c r="F9" s="250">
        <f>+'Revenue Buildup'!F19</f>
        <v>62999.999999999993</v>
      </c>
      <c r="G9" s="250">
        <f>+'Revenue Buildup'!G19</f>
        <v>67500</v>
      </c>
      <c r="H9" s="250">
        <f>+'Revenue Buildup'!H19</f>
        <v>72000</v>
      </c>
      <c r="I9" s="250">
        <f>+'Revenue Buildup'!I19</f>
        <v>76500.000000000015</v>
      </c>
      <c r="J9" s="250">
        <f>+'Revenue Buildup'!J19</f>
        <v>81000.000000000015</v>
      </c>
      <c r="K9" s="250">
        <f>+'Revenue Buildup'!K19</f>
        <v>85500.000000000015</v>
      </c>
      <c r="L9" s="290">
        <f>+'Revenue Buildup'!L19</f>
        <v>85500</v>
      </c>
    </row>
    <row r="10" spans="2:12" x14ac:dyDescent="0.25">
      <c r="B10" s="277"/>
      <c r="C10" s="250"/>
      <c r="D10" s="250"/>
      <c r="E10" s="250"/>
      <c r="F10" s="250"/>
      <c r="G10" s="250"/>
      <c r="H10" s="250"/>
      <c r="I10" s="250"/>
      <c r="J10" s="250"/>
      <c r="K10" s="250"/>
      <c r="L10" s="290"/>
    </row>
    <row r="11" spans="2:12" x14ac:dyDescent="0.25">
      <c r="B11" s="297" t="s">
        <v>449</v>
      </c>
      <c r="C11" s="250"/>
      <c r="D11" s="250"/>
      <c r="E11" s="250"/>
      <c r="F11" s="250"/>
      <c r="G11" s="250"/>
      <c r="H11" s="250"/>
      <c r="I11" s="250"/>
      <c r="J11" s="250"/>
      <c r="K11" s="250"/>
      <c r="L11" s="290"/>
    </row>
    <row r="12" spans="2:12" x14ac:dyDescent="0.25">
      <c r="B12" s="302" t="s">
        <v>48</v>
      </c>
      <c r="C12" s="250" t="s">
        <v>420</v>
      </c>
      <c r="D12" s="299">
        <f>1/0.945</f>
        <v>1.0582010582010584</v>
      </c>
      <c r="E12" s="300">
        <f>D12</f>
        <v>1.0582010582010584</v>
      </c>
      <c r="F12" s="300">
        <f t="shared" ref="F12:L12" si="1">E12</f>
        <v>1.0582010582010584</v>
      </c>
      <c r="G12" s="300">
        <f t="shared" si="1"/>
        <v>1.0582010582010584</v>
      </c>
      <c r="H12" s="300">
        <f t="shared" si="1"/>
        <v>1.0582010582010584</v>
      </c>
      <c r="I12" s="300">
        <f t="shared" si="1"/>
        <v>1.0582010582010584</v>
      </c>
      <c r="J12" s="300">
        <f t="shared" si="1"/>
        <v>1.0582010582010584</v>
      </c>
      <c r="K12" s="300">
        <f t="shared" si="1"/>
        <v>1.0582010582010584</v>
      </c>
      <c r="L12" s="303">
        <f t="shared" si="1"/>
        <v>1.0582010582010584</v>
      </c>
    </row>
    <row r="13" spans="2:12" x14ac:dyDescent="0.25">
      <c r="B13" s="302" t="s">
        <v>49</v>
      </c>
      <c r="C13" s="250" t="s">
        <v>420</v>
      </c>
      <c r="D13" s="299">
        <f>1/0.4</f>
        <v>2.5</v>
      </c>
      <c r="E13" s="300">
        <f t="shared" ref="E13:L13" si="2">D13</f>
        <v>2.5</v>
      </c>
      <c r="F13" s="300">
        <f t="shared" si="2"/>
        <v>2.5</v>
      </c>
      <c r="G13" s="300">
        <f t="shared" si="2"/>
        <v>2.5</v>
      </c>
      <c r="H13" s="300">
        <f t="shared" si="2"/>
        <v>2.5</v>
      </c>
      <c r="I13" s="300">
        <f t="shared" si="2"/>
        <v>2.5</v>
      </c>
      <c r="J13" s="300">
        <f t="shared" si="2"/>
        <v>2.5</v>
      </c>
      <c r="K13" s="300">
        <f t="shared" si="2"/>
        <v>2.5</v>
      </c>
      <c r="L13" s="303">
        <f t="shared" si="2"/>
        <v>2.5</v>
      </c>
    </row>
    <row r="14" spans="2:12" x14ac:dyDescent="0.25">
      <c r="B14" s="302" t="s">
        <v>50</v>
      </c>
      <c r="C14" s="250" t="s">
        <v>420</v>
      </c>
      <c r="D14" s="299">
        <f>1/0.975</f>
        <v>1.0256410256410258</v>
      </c>
      <c r="E14" s="300">
        <f t="shared" ref="E14:L14" si="3">D14</f>
        <v>1.0256410256410258</v>
      </c>
      <c r="F14" s="300">
        <f t="shared" si="3"/>
        <v>1.0256410256410258</v>
      </c>
      <c r="G14" s="300">
        <f t="shared" si="3"/>
        <v>1.0256410256410258</v>
      </c>
      <c r="H14" s="300">
        <f t="shared" si="3"/>
        <v>1.0256410256410258</v>
      </c>
      <c r="I14" s="300">
        <f t="shared" si="3"/>
        <v>1.0256410256410258</v>
      </c>
      <c r="J14" s="300">
        <f t="shared" si="3"/>
        <v>1.0256410256410258</v>
      </c>
      <c r="K14" s="300">
        <f t="shared" si="3"/>
        <v>1.0256410256410258</v>
      </c>
      <c r="L14" s="303">
        <f t="shared" si="3"/>
        <v>1.0256410256410258</v>
      </c>
    </row>
    <row r="15" spans="2:12" x14ac:dyDescent="0.25">
      <c r="B15" s="302" t="s">
        <v>51</v>
      </c>
      <c r="C15" s="250" t="s">
        <v>420</v>
      </c>
      <c r="D15" s="298">
        <v>8.0000000000000002E-3</v>
      </c>
      <c r="E15" s="300">
        <f t="shared" ref="E15:L15" si="4">D15</f>
        <v>8.0000000000000002E-3</v>
      </c>
      <c r="F15" s="300">
        <f t="shared" si="4"/>
        <v>8.0000000000000002E-3</v>
      </c>
      <c r="G15" s="300">
        <f t="shared" si="4"/>
        <v>8.0000000000000002E-3</v>
      </c>
      <c r="H15" s="300">
        <f t="shared" si="4"/>
        <v>8.0000000000000002E-3</v>
      </c>
      <c r="I15" s="300">
        <f t="shared" si="4"/>
        <v>8.0000000000000002E-3</v>
      </c>
      <c r="J15" s="300">
        <f t="shared" si="4"/>
        <v>8.0000000000000002E-3</v>
      </c>
      <c r="K15" s="300">
        <f t="shared" si="4"/>
        <v>8.0000000000000002E-3</v>
      </c>
      <c r="L15" s="303">
        <f t="shared" si="4"/>
        <v>8.0000000000000002E-3</v>
      </c>
    </row>
    <row r="16" spans="2:12" x14ac:dyDescent="0.25">
      <c r="B16" s="302" t="s">
        <v>52</v>
      </c>
      <c r="C16" s="250" t="s">
        <v>420</v>
      </c>
      <c r="D16" s="298">
        <v>6.0000000000000001E-3</v>
      </c>
      <c r="E16" s="300">
        <f t="shared" ref="E16:L16" si="5">D16</f>
        <v>6.0000000000000001E-3</v>
      </c>
      <c r="F16" s="300">
        <f t="shared" si="5"/>
        <v>6.0000000000000001E-3</v>
      </c>
      <c r="G16" s="300">
        <f t="shared" si="5"/>
        <v>6.0000000000000001E-3</v>
      </c>
      <c r="H16" s="300">
        <f t="shared" si="5"/>
        <v>6.0000000000000001E-3</v>
      </c>
      <c r="I16" s="300">
        <f t="shared" si="5"/>
        <v>6.0000000000000001E-3</v>
      </c>
      <c r="J16" s="300">
        <f t="shared" si="5"/>
        <v>6.0000000000000001E-3</v>
      </c>
      <c r="K16" s="300">
        <f t="shared" si="5"/>
        <v>6.0000000000000001E-3</v>
      </c>
      <c r="L16" s="303">
        <f t="shared" si="5"/>
        <v>6.0000000000000001E-3</v>
      </c>
    </row>
    <row r="17" spans="2:12" x14ac:dyDescent="0.25">
      <c r="B17" s="302" t="s">
        <v>53</v>
      </c>
      <c r="C17" s="250" t="s">
        <v>420</v>
      </c>
      <c r="D17" s="298">
        <v>1E-3</v>
      </c>
      <c r="E17" s="300">
        <f t="shared" ref="E17:L17" si="6">D17</f>
        <v>1E-3</v>
      </c>
      <c r="F17" s="300">
        <f t="shared" si="6"/>
        <v>1E-3</v>
      </c>
      <c r="G17" s="300">
        <f t="shared" si="6"/>
        <v>1E-3</v>
      </c>
      <c r="H17" s="300">
        <f t="shared" si="6"/>
        <v>1E-3</v>
      </c>
      <c r="I17" s="300">
        <f t="shared" si="6"/>
        <v>1E-3</v>
      </c>
      <c r="J17" s="300">
        <f t="shared" si="6"/>
        <v>1E-3</v>
      </c>
      <c r="K17" s="300">
        <f t="shared" si="6"/>
        <v>1E-3</v>
      </c>
      <c r="L17" s="303">
        <f t="shared" si="6"/>
        <v>1E-3</v>
      </c>
    </row>
    <row r="18" spans="2:12" x14ac:dyDescent="0.25">
      <c r="B18" s="277"/>
      <c r="C18" s="250"/>
      <c r="D18" s="250"/>
      <c r="E18" s="250"/>
      <c r="F18" s="250"/>
      <c r="G18" s="250"/>
      <c r="H18" s="250"/>
      <c r="I18" s="250"/>
      <c r="J18" s="250"/>
      <c r="K18" s="250"/>
      <c r="L18" s="290"/>
    </row>
    <row r="19" spans="2:12" x14ac:dyDescent="0.25">
      <c r="B19" s="297" t="s">
        <v>449</v>
      </c>
      <c r="C19" s="250"/>
      <c r="D19" s="250"/>
      <c r="E19" s="250"/>
      <c r="F19" s="250"/>
      <c r="G19" s="250"/>
      <c r="H19" s="250"/>
      <c r="I19" s="250"/>
      <c r="J19" s="250"/>
      <c r="K19" s="250"/>
      <c r="L19" s="290"/>
    </row>
    <row r="20" spans="2:12" x14ac:dyDescent="0.25">
      <c r="B20" s="302" t="s">
        <v>48</v>
      </c>
      <c r="C20" s="256" t="s">
        <v>24</v>
      </c>
      <c r="D20" s="287">
        <f>+D7*D12</f>
        <v>95238.095238095251</v>
      </c>
      <c r="E20" s="287">
        <f t="shared" ref="E20:L20" si="7">+E7*E12</f>
        <v>114285.7142857143</v>
      </c>
      <c r="F20" s="287">
        <f t="shared" si="7"/>
        <v>133333.33333333334</v>
      </c>
      <c r="G20" s="287">
        <f t="shared" si="7"/>
        <v>142857.14285714287</v>
      </c>
      <c r="H20" s="287">
        <f t="shared" si="7"/>
        <v>152380.9523809524</v>
      </c>
      <c r="I20" s="287">
        <f t="shared" si="7"/>
        <v>161904.76190476195</v>
      </c>
      <c r="J20" s="287">
        <f t="shared" si="7"/>
        <v>171428.57142857148</v>
      </c>
      <c r="K20" s="287">
        <f t="shared" si="7"/>
        <v>180952.38095238101</v>
      </c>
      <c r="L20" s="293">
        <f t="shared" si="7"/>
        <v>180952.38095238098</v>
      </c>
    </row>
    <row r="21" spans="2:12" x14ac:dyDescent="0.25">
      <c r="B21" s="302" t="s">
        <v>49</v>
      </c>
      <c r="C21" s="256" t="s">
        <v>24</v>
      </c>
      <c r="D21" s="287">
        <f>D8*D13</f>
        <v>56250</v>
      </c>
      <c r="E21" s="287">
        <f t="shared" ref="E21:L21" si="8">E8*E13</f>
        <v>67500</v>
      </c>
      <c r="F21" s="287">
        <f t="shared" si="8"/>
        <v>78749.999999999985</v>
      </c>
      <c r="G21" s="287">
        <f t="shared" si="8"/>
        <v>84375</v>
      </c>
      <c r="H21" s="287">
        <f t="shared" si="8"/>
        <v>90000</v>
      </c>
      <c r="I21" s="287">
        <f t="shared" si="8"/>
        <v>95625.000000000015</v>
      </c>
      <c r="J21" s="287">
        <f t="shared" si="8"/>
        <v>101250.00000000001</v>
      </c>
      <c r="K21" s="287">
        <f t="shared" si="8"/>
        <v>106875.00000000001</v>
      </c>
      <c r="L21" s="293">
        <f t="shared" si="8"/>
        <v>106875</v>
      </c>
    </row>
    <row r="22" spans="2:12" x14ac:dyDescent="0.25">
      <c r="B22" s="302" t="s">
        <v>50</v>
      </c>
      <c r="C22" s="256" t="s">
        <v>24</v>
      </c>
      <c r="D22" s="287">
        <f>D9*D14</f>
        <v>46153.846153846163</v>
      </c>
      <c r="E22" s="287">
        <f t="shared" ref="E22:L22" si="9">E9*E14</f>
        <v>55384.61538461539</v>
      </c>
      <c r="F22" s="287">
        <f t="shared" si="9"/>
        <v>64615.384615384617</v>
      </c>
      <c r="G22" s="287">
        <f t="shared" si="9"/>
        <v>69230.769230769234</v>
      </c>
      <c r="H22" s="287">
        <f t="shared" si="9"/>
        <v>73846.153846153858</v>
      </c>
      <c r="I22" s="287">
        <f t="shared" si="9"/>
        <v>78461.538461538483</v>
      </c>
      <c r="J22" s="287">
        <f t="shared" si="9"/>
        <v>83076.923076923107</v>
      </c>
      <c r="K22" s="287">
        <f t="shared" si="9"/>
        <v>87692.307692307717</v>
      </c>
      <c r="L22" s="293">
        <f t="shared" si="9"/>
        <v>87692.307692307702</v>
      </c>
    </row>
    <row r="23" spans="2:12" x14ac:dyDescent="0.25">
      <c r="B23" s="302" t="s">
        <v>51</v>
      </c>
      <c r="C23" s="256" t="s">
        <v>24</v>
      </c>
      <c r="D23" s="287">
        <f>SUM($D$7:$D$9)*D15</f>
        <v>1260</v>
      </c>
      <c r="E23" s="287">
        <f t="shared" ref="E23:L23" si="10">SUM($D$7:$D$9)*E15</f>
        <v>1260</v>
      </c>
      <c r="F23" s="287">
        <f t="shared" si="10"/>
        <v>1260</v>
      </c>
      <c r="G23" s="287">
        <f t="shared" si="10"/>
        <v>1260</v>
      </c>
      <c r="H23" s="287">
        <f t="shared" si="10"/>
        <v>1260</v>
      </c>
      <c r="I23" s="287">
        <f t="shared" si="10"/>
        <v>1260</v>
      </c>
      <c r="J23" s="287">
        <f t="shared" si="10"/>
        <v>1260</v>
      </c>
      <c r="K23" s="287">
        <f t="shared" si="10"/>
        <v>1260</v>
      </c>
      <c r="L23" s="293">
        <f t="shared" si="10"/>
        <v>1260</v>
      </c>
    </row>
    <row r="24" spans="2:12" x14ac:dyDescent="0.25">
      <c r="B24" s="302" t="s">
        <v>52</v>
      </c>
      <c r="C24" s="256" t="s">
        <v>24</v>
      </c>
      <c r="D24" s="287">
        <f t="shared" ref="D24:L25" si="11">SUM($D$7:$D$9)*D16</f>
        <v>945</v>
      </c>
      <c r="E24" s="287">
        <f t="shared" si="11"/>
        <v>945</v>
      </c>
      <c r="F24" s="287">
        <f t="shared" si="11"/>
        <v>945</v>
      </c>
      <c r="G24" s="287">
        <f t="shared" si="11"/>
        <v>945</v>
      </c>
      <c r="H24" s="287">
        <f t="shared" si="11"/>
        <v>945</v>
      </c>
      <c r="I24" s="287">
        <f t="shared" si="11"/>
        <v>945</v>
      </c>
      <c r="J24" s="287">
        <f t="shared" si="11"/>
        <v>945</v>
      </c>
      <c r="K24" s="287">
        <f t="shared" si="11"/>
        <v>945</v>
      </c>
      <c r="L24" s="293">
        <f t="shared" si="11"/>
        <v>945</v>
      </c>
    </row>
    <row r="25" spans="2:12" x14ac:dyDescent="0.25">
      <c r="B25" s="302" t="s">
        <v>53</v>
      </c>
      <c r="C25" s="256" t="s">
        <v>24</v>
      </c>
      <c r="D25" s="287">
        <f t="shared" si="11"/>
        <v>157.5</v>
      </c>
      <c r="E25" s="287">
        <f t="shared" si="11"/>
        <v>157.5</v>
      </c>
      <c r="F25" s="287">
        <f t="shared" si="11"/>
        <v>157.5</v>
      </c>
      <c r="G25" s="287">
        <f t="shared" si="11"/>
        <v>157.5</v>
      </c>
      <c r="H25" s="287">
        <f t="shared" si="11"/>
        <v>157.5</v>
      </c>
      <c r="I25" s="287">
        <f t="shared" si="11"/>
        <v>157.5</v>
      </c>
      <c r="J25" s="287">
        <f t="shared" si="11"/>
        <v>157.5</v>
      </c>
      <c r="K25" s="287">
        <f t="shared" si="11"/>
        <v>157.5</v>
      </c>
      <c r="L25" s="293">
        <f t="shared" si="11"/>
        <v>157.5</v>
      </c>
    </row>
    <row r="26" spans="2:12" x14ac:dyDescent="0.25">
      <c r="B26" s="277"/>
      <c r="C26" s="250"/>
      <c r="D26" s="250"/>
      <c r="E26" s="250"/>
      <c r="F26" s="250"/>
      <c r="G26" s="250"/>
      <c r="H26" s="250"/>
      <c r="I26" s="250"/>
      <c r="J26" s="250"/>
      <c r="K26" s="250"/>
      <c r="L26" s="290"/>
    </row>
    <row r="27" spans="2:12" x14ac:dyDescent="0.25">
      <c r="B27" s="297" t="s">
        <v>450</v>
      </c>
      <c r="C27" s="250"/>
      <c r="D27" s="250"/>
      <c r="E27" s="250"/>
      <c r="F27" s="250"/>
      <c r="G27" s="250"/>
      <c r="H27" s="250"/>
      <c r="I27" s="250"/>
      <c r="J27" s="250"/>
      <c r="K27" s="250"/>
      <c r="L27" s="290"/>
    </row>
    <row r="28" spans="2:12" x14ac:dyDescent="0.25">
      <c r="B28" s="302" t="s">
        <v>48</v>
      </c>
      <c r="C28" s="301" t="s">
        <v>451</v>
      </c>
      <c r="D28" s="287">
        <f>+Inputs!D39</f>
        <v>48000</v>
      </c>
      <c r="E28" s="287">
        <f>D28*(1+Inputs!$D$47)</f>
        <v>48480</v>
      </c>
      <c r="F28" s="287">
        <f>E28*(1+Inputs!$D$47)</f>
        <v>48964.800000000003</v>
      </c>
      <c r="G28" s="287">
        <f>F28*(1+Inputs!$D$47)</f>
        <v>49454.448000000004</v>
      </c>
      <c r="H28" s="287">
        <f>G28*(1+Inputs!$D$47)</f>
        <v>49948.992480000008</v>
      </c>
      <c r="I28" s="287">
        <f>H28*(1+Inputs!$D$47)</f>
        <v>50448.482404800008</v>
      </c>
      <c r="J28" s="287">
        <f>I28*(1+Inputs!$D$47)</f>
        <v>50952.967228848007</v>
      </c>
      <c r="K28" s="287">
        <f>J28*(1+Inputs!$D$47)</f>
        <v>51462.496901136488</v>
      </c>
      <c r="L28" s="293">
        <f>K28*(1+Inputs!$D$47)</f>
        <v>51977.12187014785</v>
      </c>
    </row>
    <row r="29" spans="2:12" x14ac:dyDescent="0.25">
      <c r="B29" s="302" t="s">
        <v>49</v>
      </c>
      <c r="C29" s="301" t="s">
        <v>451</v>
      </c>
      <c r="D29" s="287">
        <f>+Inputs!D40</f>
        <v>45000</v>
      </c>
      <c r="E29" s="287">
        <f>D29*(1+Inputs!$D$47)</f>
        <v>45450</v>
      </c>
      <c r="F29" s="287">
        <f>E29*(1+Inputs!$D$47)</f>
        <v>45904.5</v>
      </c>
      <c r="G29" s="287">
        <f>F29*(1+Inputs!$D$47)</f>
        <v>46363.544999999998</v>
      </c>
      <c r="H29" s="287">
        <f>G29*(1+Inputs!$D$47)</f>
        <v>46827.18045</v>
      </c>
      <c r="I29" s="287">
        <f>H29*(1+Inputs!$D$47)</f>
        <v>47295.4522545</v>
      </c>
      <c r="J29" s="287">
        <f>I29*(1+Inputs!$D$47)</f>
        <v>47768.406777044998</v>
      </c>
      <c r="K29" s="287">
        <f>J29*(1+Inputs!$D$47)</f>
        <v>48246.090844815451</v>
      </c>
      <c r="L29" s="293">
        <f>K29*(1+Inputs!$D$47)</f>
        <v>48728.551753263608</v>
      </c>
    </row>
    <row r="30" spans="2:12" x14ac:dyDescent="0.25">
      <c r="B30" s="302" t="s">
        <v>50</v>
      </c>
      <c r="C30" s="301" t="s">
        <v>451</v>
      </c>
      <c r="D30" s="287">
        <f>+Inputs!D41</f>
        <v>62000</v>
      </c>
      <c r="E30" s="287">
        <f>D30*(1+Inputs!$D$47)</f>
        <v>62620</v>
      </c>
      <c r="F30" s="287">
        <f>E30*(1+Inputs!$D$47)</f>
        <v>63246.2</v>
      </c>
      <c r="G30" s="287">
        <f>F30*(1+Inputs!$D$47)</f>
        <v>63878.661999999997</v>
      </c>
      <c r="H30" s="287">
        <f>G30*(1+Inputs!$D$47)</f>
        <v>64517.448619999996</v>
      </c>
      <c r="I30" s="287">
        <f>H30*(1+Inputs!$D$47)</f>
        <v>65162.623106199993</v>
      </c>
      <c r="J30" s="287">
        <f>I30*(1+Inputs!$D$47)</f>
        <v>65814.249337261994</v>
      </c>
      <c r="K30" s="287">
        <f>J30*(1+Inputs!$D$47)</f>
        <v>66472.391830634617</v>
      </c>
      <c r="L30" s="293">
        <f>K30*(1+Inputs!$D$47)</f>
        <v>67137.115748940967</v>
      </c>
    </row>
    <row r="31" spans="2:12" x14ac:dyDescent="0.25">
      <c r="B31" s="302" t="s">
        <v>51</v>
      </c>
      <c r="C31" s="301" t="s">
        <v>451</v>
      </c>
      <c r="D31" s="287">
        <f>+Inputs!D42</f>
        <v>90000</v>
      </c>
      <c r="E31" s="287">
        <f>D31*(1+Inputs!$D$47)</f>
        <v>90900</v>
      </c>
      <c r="F31" s="287">
        <f>E31*(1+Inputs!$D$47)</f>
        <v>91809</v>
      </c>
      <c r="G31" s="287">
        <f>F31*(1+Inputs!$D$47)</f>
        <v>92727.09</v>
      </c>
      <c r="H31" s="287">
        <f>G31*(1+Inputs!$D$47)</f>
        <v>93654.3609</v>
      </c>
      <c r="I31" s="287">
        <f>H31*(1+Inputs!$D$47)</f>
        <v>94590.904509</v>
      </c>
      <c r="J31" s="287">
        <f>I31*(1+Inputs!$D$47)</f>
        <v>95536.813554089997</v>
      </c>
      <c r="K31" s="287">
        <f>J31*(1+Inputs!$D$47)</f>
        <v>96492.181689630903</v>
      </c>
      <c r="L31" s="293">
        <f>K31*(1+Inputs!$D$47)</f>
        <v>97457.103506527215</v>
      </c>
    </row>
    <row r="32" spans="2:12" x14ac:dyDescent="0.25">
      <c r="B32" s="302" t="s">
        <v>52</v>
      </c>
      <c r="C32" s="301" t="s">
        <v>451</v>
      </c>
      <c r="D32" s="287">
        <f>+Inputs!D43</f>
        <v>38000</v>
      </c>
      <c r="E32" s="287">
        <f>D32*(1+Inputs!$D$47)</f>
        <v>38380</v>
      </c>
      <c r="F32" s="287">
        <f>E32*(1+Inputs!$D$47)</f>
        <v>38763.800000000003</v>
      </c>
      <c r="G32" s="287">
        <f>F32*(1+Inputs!$D$47)</f>
        <v>39151.438000000002</v>
      </c>
      <c r="H32" s="287">
        <f>G32*(1+Inputs!$D$47)</f>
        <v>39542.952380000002</v>
      </c>
      <c r="I32" s="287">
        <f>H32*(1+Inputs!$D$47)</f>
        <v>39938.3819038</v>
      </c>
      <c r="J32" s="287">
        <f>I32*(1+Inputs!$D$47)</f>
        <v>40337.765722837998</v>
      </c>
      <c r="K32" s="287">
        <f>J32*(1+Inputs!$D$47)</f>
        <v>40741.14338006638</v>
      </c>
      <c r="L32" s="293">
        <f>K32*(1+Inputs!$D$47)</f>
        <v>41148.554813867042</v>
      </c>
    </row>
    <row r="33" spans="2:12" x14ac:dyDescent="0.25">
      <c r="B33" s="302" t="s">
        <v>53</v>
      </c>
      <c r="C33" s="301" t="s">
        <v>451</v>
      </c>
      <c r="D33" s="287">
        <f>+Inputs!D44</f>
        <v>35000</v>
      </c>
      <c r="E33" s="287">
        <f>D33*(1+Inputs!$D$47)</f>
        <v>35350</v>
      </c>
      <c r="F33" s="287">
        <f>E33*(1+Inputs!$D$47)</f>
        <v>35703.5</v>
      </c>
      <c r="G33" s="287">
        <f>F33*(1+Inputs!$D$47)</f>
        <v>36060.535000000003</v>
      </c>
      <c r="H33" s="287">
        <f>G33*(1+Inputs!$D$47)</f>
        <v>36421.140350000001</v>
      </c>
      <c r="I33" s="287">
        <f>H33*(1+Inputs!$D$47)</f>
        <v>36785.351753499999</v>
      </c>
      <c r="J33" s="287">
        <f>I33*(1+Inputs!$D$47)</f>
        <v>37153.205271034996</v>
      </c>
      <c r="K33" s="287">
        <f>J33*(1+Inputs!$D$47)</f>
        <v>37524.737323745343</v>
      </c>
      <c r="L33" s="293">
        <f>K33*(1+Inputs!$D$47)</f>
        <v>37899.9846969828</v>
      </c>
    </row>
    <row r="34" spans="2:12" x14ac:dyDescent="0.25">
      <c r="B34" s="277"/>
      <c r="C34" s="250"/>
      <c r="D34" s="250"/>
      <c r="E34" s="250"/>
      <c r="F34" s="250"/>
      <c r="G34" s="250"/>
      <c r="H34" s="250"/>
      <c r="I34" s="250"/>
      <c r="J34" s="250"/>
      <c r="K34" s="250"/>
      <c r="L34" s="290"/>
    </row>
    <row r="35" spans="2:12" x14ac:dyDescent="0.25">
      <c r="B35" s="297" t="s">
        <v>452</v>
      </c>
      <c r="C35" s="250"/>
      <c r="D35" s="250"/>
      <c r="E35" s="250"/>
      <c r="F35" s="250"/>
      <c r="G35" s="250"/>
      <c r="H35" s="250"/>
      <c r="I35" s="250"/>
      <c r="J35" s="250"/>
      <c r="K35" s="250"/>
      <c r="L35" s="290"/>
    </row>
    <row r="36" spans="2:12" x14ac:dyDescent="0.25">
      <c r="B36" s="302" t="s">
        <v>48</v>
      </c>
      <c r="C36" s="301" t="s">
        <v>422</v>
      </c>
      <c r="D36" s="251">
        <f>+(D20*D28)/10^7</f>
        <v>457.14285714285717</v>
      </c>
      <c r="E36" s="251">
        <f t="shared" ref="E36:L36" si="12">+(E20*E28)/10^7</f>
        <v>554.05714285714294</v>
      </c>
      <c r="F36" s="251">
        <f t="shared" si="12"/>
        <v>652.86400000000015</v>
      </c>
      <c r="G36" s="251">
        <f t="shared" si="12"/>
        <v>706.49211428571448</v>
      </c>
      <c r="H36" s="251">
        <f t="shared" si="12"/>
        <v>761.127504457143</v>
      </c>
      <c r="I36" s="251">
        <f t="shared" si="12"/>
        <v>816.78495322057177</v>
      </c>
      <c r="J36" s="251">
        <f t="shared" si="12"/>
        <v>873.47943820882324</v>
      </c>
      <c r="K36" s="251">
        <f t="shared" si="12"/>
        <v>931.2261344015177</v>
      </c>
      <c r="L36" s="294">
        <f t="shared" si="12"/>
        <v>940.53839574553263</v>
      </c>
    </row>
    <row r="37" spans="2:12" x14ac:dyDescent="0.25">
      <c r="B37" s="302" t="s">
        <v>49</v>
      </c>
      <c r="C37" s="301" t="s">
        <v>422</v>
      </c>
      <c r="D37" s="251">
        <f t="shared" ref="D37:L37" si="13">+(D21*D29)/10^7</f>
        <v>253.125</v>
      </c>
      <c r="E37" s="251">
        <f t="shared" si="13"/>
        <v>306.78750000000002</v>
      </c>
      <c r="F37" s="251">
        <f t="shared" si="13"/>
        <v>361.49793749999998</v>
      </c>
      <c r="G37" s="251">
        <f t="shared" si="13"/>
        <v>391.19241093749997</v>
      </c>
      <c r="H37" s="251">
        <f t="shared" si="13"/>
        <v>421.44462405000002</v>
      </c>
      <c r="I37" s="251">
        <f t="shared" si="13"/>
        <v>452.26276218365632</v>
      </c>
      <c r="J37" s="251">
        <f t="shared" si="13"/>
        <v>483.65511861758068</v>
      </c>
      <c r="K37" s="251">
        <f t="shared" si="13"/>
        <v>515.63009590396518</v>
      </c>
      <c r="L37" s="294">
        <f t="shared" si="13"/>
        <v>520.78639686300482</v>
      </c>
    </row>
    <row r="38" spans="2:12" x14ac:dyDescent="0.25">
      <c r="B38" s="302" t="s">
        <v>50</v>
      </c>
      <c r="C38" s="301" t="s">
        <v>422</v>
      </c>
      <c r="D38" s="251">
        <f t="shared" ref="D38:L38" si="14">+(D22*D30)/10^7</f>
        <v>286.15384615384619</v>
      </c>
      <c r="E38" s="251">
        <f t="shared" si="14"/>
        <v>346.81846153846158</v>
      </c>
      <c r="F38" s="251">
        <f t="shared" si="14"/>
        <v>408.66775384615386</v>
      </c>
      <c r="G38" s="251">
        <f t="shared" si="14"/>
        <v>442.23689076923074</v>
      </c>
      <c r="H38" s="251">
        <f t="shared" si="14"/>
        <v>476.43654365538464</v>
      </c>
      <c r="I38" s="251">
        <f t="shared" si="14"/>
        <v>511.27596591018465</v>
      </c>
      <c r="J38" s="251">
        <f t="shared" si="14"/>
        <v>546.76453295571514</v>
      </c>
      <c r="K38" s="251">
        <f t="shared" si="14"/>
        <v>582.91174374556522</v>
      </c>
      <c r="L38" s="294">
        <f t="shared" si="14"/>
        <v>588.74086118302091</v>
      </c>
    </row>
    <row r="39" spans="2:12" x14ac:dyDescent="0.25">
      <c r="B39" s="302" t="s">
        <v>51</v>
      </c>
      <c r="C39" s="301" t="s">
        <v>422</v>
      </c>
      <c r="D39" s="251">
        <f t="shared" ref="D39:L39" si="15">+(D23*D31)/10^7</f>
        <v>11.34</v>
      </c>
      <c r="E39" s="251">
        <f t="shared" si="15"/>
        <v>11.4534</v>
      </c>
      <c r="F39" s="251">
        <f t="shared" si="15"/>
        <v>11.567933999999999</v>
      </c>
      <c r="G39" s="251">
        <f t="shared" si="15"/>
        <v>11.683613339999999</v>
      </c>
      <c r="H39" s="251">
        <f t="shared" si="15"/>
        <v>11.8004494734</v>
      </c>
      <c r="I39" s="251">
        <f t="shared" si="15"/>
        <v>11.918453968133999</v>
      </c>
      <c r="J39" s="251">
        <f t="shared" si="15"/>
        <v>12.037638507815339</v>
      </c>
      <c r="K39" s="251">
        <f t="shared" si="15"/>
        <v>12.158014892893494</v>
      </c>
      <c r="L39" s="294">
        <f t="shared" si="15"/>
        <v>12.279595041822429</v>
      </c>
    </row>
    <row r="40" spans="2:12" x14ac:dyDescent="0.25">
      <c r="B40" s="302" t="s">
        <v>52</v>
      </c>
      <c r="C40" s="301" t="s">
        <v>422</v>
      </c>
      <c r="D40" s="251">
        <f t="shared" ref="D40:L40" si="16">+(D24*D32)/10^7</f>
        <v>3.5910000000000002</v>
      </c>
      <c r="E40" s="251">
        <f t="shared" si="16"/>
        <v>3.6269100000000001</v>
      </c>
      <c r="F40" s="251">
        <f t="shared" si="16"/>
        <v>3.6631790999999998</v>
      </c>
      <c r="G40" s="251">
        <f t="shared" si="16"/>
        <v>3.6998108910000003</v>
      </c>
      <c r="H40" s="251">
        <f t="shared" si="16"/>
        <v>3.73680899991</v>
      </c>
      <c r="I40" s="251">
        <f t="shared" si="16"/>
        <v>3.7741770899090996</v>
      </c>
      <c r="J40" s="251">
        <f t="shared" si="16"/>
        <v>3.8119188608081909</v>
      </c>
      <c r="K40" s="251">
        <f t="shared" si="16"/>
        <v>3.8500380494162729</v>
      </c>
      <c r="L40" s="294">
        <f t="shared" si="16"/>
        <v>3.8885384299104357</v>
      </c>
    </row>
    <row r="41" spans="2:12" x14ac:dyDescent="0.25">
      <c r="B41" s="302" t="s">
        <v>53</v>
      </c>
      <c r="C41" s="301" t="s">
        <v>422</v>
      </c>
      <c r="D41" s="251">
        <f t="shared" ref="D41:L41" si="17">+(D25*D33)/10^7</f>
        <v>0.55125000000000002</v>
      </c>
      <c r="E41" s="251">
        <f t="shared" si="17"/>
        <v>0.55676250000000005</v>
      </c>
      <c r="F41" s="251">
        <f t="shared" si="17"/>
        <v>0.56233012500000001</v>
      </c>
      <c r="G41" s="251">
        <f t="shared" si="17"/>
        <v>0.56795342625</v>
      </c>
      <c r="H41" s="251">
        <f t="shared" si="17"/>
        <v>0.57363296051250012</v>
      </c>
      <c r="I41" s="251">
        <f t="shared" si="17"/>
        <v>0.57936929011762495</v>
      </c>
      <c r="J41" s="251">
        <f t="shared" si="17"/>
        <v>0.58516298301880121</v>
      </c>
      <c r="K41" s="251">
        <f t="shared" si="17"/>
        <v>0.59101461284898915</v>
      </c>
      <c r="L41" s="294">
        <f t="shared" si="17"/>
        <v>0.5969247589774791</v>
      </c>
    </row>
    <row r="42" spans="2:12" ht="15.75" thickBot="1" x14ac:dyDescent="0.3">
      <c r="B42" s="279" t="s">
        <v>397</v>
      </c>
      <c r="C42" s="304" t="s">
        <v>422</v>
      </c>
      <c r="D42" s="305">
        <f>SUM(D36:D41)</f>
        <v>1011.9039532967033</v>
      </c>
      <c r="E42" s="305">
        <f t="shared" ref="E42:L42" si="18">SUM(E36:E41)</f>
        <v>1223.3001768956046</v>
      </c>
      <c r="F42" s="305">
        <f t="shared" si="18"/>
        <v>1438.8231345711538</v>
      </c>
      <c r="G42" s="305">
        <f t="shared" si="18"/>
        <v>1555.872793649695</v>
      </c>
      <c r="H42" s="305">
        <f t="shared" si="18"/>
        <v>1675.1195635963502</v>
      </c>
      <c r="I42" s="305">
        <f t="shared" si="18"/>
        <v>1796.5956816625733</v>
      </c>
      <c r="J42" s="305">
        <f t="shared" si="18"/>
        <v>1920.3338101337613</v>
      </c>
      <c r="K42" s="305">
        <f t="shared" si="18"/>
        <v>2046.3670416062068</v>
      </c>
      <c r="L42" s="306">
        <f t="shared" si="18"/>
        <v>2066.8307120222689</v>
      </c>
    </row>
    <row r="44" spans="2:12" x14ac:dyDescent="0.25">
      <c r="B44" t="s">
        <v>497</v>
      </c>
      <c r="D44">
        <v>0</v>
      </c>
      <c r="E44" s="248">
        <f>+D45</f>
        <v>12.64879941620879</v>
      </c>
      <c r="F44" s="248">
        <f t="shared" ref="F44:L44" si="19">+E45</f>
        <v>15.291252211195058</v>
      </c>
      <c r="G44" s="248">
        <f t="shared" si="19"/>
        <v>17.985289182139422</v>
      </c>
      <c r="H44" s="248">
        <f t="shared" si="19"/>
        <v>19.448409920621188</v>
      </c>
      <c r="I44" s="248">
        <f t="shared" si="19"/>
        <v>20.938994544954376</v>
      </c>
      <c r="J44" s="248">
        <f t="shared" si="19"/>
        <v>22.457446020782164</v>
      </c>
      <c r="K44" s="248">
        <f t="shared" si="19"/>
        <v>24.004172626672013</v>
      </c>
      <c r="L44" s="248">
        <f t="shared" si="19"/>
        <v>25.579588020077583</v>
      </c>
    </row>
    <row r="45" spans="2:12" x14ac:dyDescent="0.25">
      <c r="B45" t="s">
        <v>498</v>
      </c>
      <c r="D45" s="248">
        <f>+WC!D9</f>
        <v>12.64879941620879</v>
      </c>
      <c r="E45" s="248">
        <f>+WC!E9</f>
        <v>15.291252211195058</v>
      </c>
      <c r="F45" s="248">
        <f>+WC!F9</f>
        <v>17.985289182139422</v>
      </c>
      <c r="G45" s="248">
        <f>+WC!G9</f>
        <v>19.448409920621188</v>
      </c>
      <c r="H45" s="248">
        <f>+WC!H9</f>
        <v>20.938994544954376</v>
      </c>
      <c r="I45" s="248">
        <f>+WC!I9</f>
        <v>22.457446020782164</v>
      </c>
      <c r="J45" s="248">
        <f>+WC!J9</f>
        <v>24.004172626672013</v>
      </c>
      <c r="K45" s="248">
        <f>+WC!K9</f>
        <v>25.579588020077583</v>
      </c>
      <c r="L45" s="248">
        <f>+WC!L9</f>
        <v>25.835383900278362</v>
      </c>
    </row>
    <row r="46" spans="2:12" ht="15.75" thickBot="1" x14ac:dyDescent="0.3">
      <c r="B46" s="315" t="s">
        <v>499</v>
      </c>
      <c r="C46" s="315"/>
      <c r="D46" s="323">
        <f>D42+D45-D44</f>
        <v>1024.552752712912</v>
      </c>
      <c r="E46" s="323">
        <f>E42+E45-E44</f>
        <v>1225.942629690591</v>
      </c>
      <c r="F46" s="323">
        <f t="shared" ref="F46:L46" si="20">F42+F45-F44</f>
        <v>1441.5171715420981</v>
      </c>
      <c r="G46" s="323">
        <f t="shared" si="20"/>
        <v>1557.3359143881767</v>
      </c>
      <c r="H46" s="323">
        <f t="shared" si="20"/>
        <v>1676.6101482206834</v>
      </c>
      <c r="I46" s="323">
        <f t="shared" si="20"/>
        <v>1798.114133138401</v>
      </c>
      <c r="J46" s="323">
        <f t="shared" si="20"/>
        <v>1921.8805367396512</v>
      </c>
      <c r="K46" s="323">
        <f t="shared" si="20"/>
        <v>2047.9424569996124</v>
      </c>
      <c r="L46" s="323">
        <f t="shared" si="20"/>
        <v>2067.0865079024697</v>
      </c>
    </row>
    <row r="47" spans="2:12" ht="15.75" thickTop="1" x14ac:dyDescent="0.2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1:L13"/>
  <sheetViews>
    <sheetView zoomScale="130" zoomScaleNormal="130" workbookViewId="0">
      <selection activeCell="D8" sqref="D8"/>
    </sheetView>
  </sheetViews>
  <sheetFormatPr defaultRowHeight="15" x14ac:dyDescent="0.25"/>
  <cols>
    <col min="2" max="2" width="20.140625" customWidth="1"/>
    <col min="3" max="3" width="11.42578125" customWidth="1"/>
    <col min="4" max="12" width="9.85546875" bestFit="1" customWidth="1"/>
  </cols>
  <sheetData>
    <row r="1" spans="2:12" ht="15.75" thickBot="1" x14ac:dyDescent="0.3"/>
    <row r="2" spans="2:12" ht="15.75" thickBot="1" x14ac:dyDescent="0.3">
      <c r="B2" s="307" t="s">
        <v>458</v>
      </c>
      <c r="C2" s="308"/>
      <c r="D2" s="308"/>
      <c r="E2" s="308"/>
      <c r="F2" s="308"/>
      <c r="G2" s="308"/>
      <c r="H2" s="308"/>
      <c r="I2" s="308"/>
      <c r="J2" s="308"/>
      <c r="K2" s="308"/>
      <c r="L2" s="309"/>
    </row>
    <row r="3" spans="2:12" ht="15.75" thickBot="1" x14ac:dyDescent="0.3"/>
    <row r="4" spans="2:12" x14ac:dyDescent="0.25">
      <c r="B4" s="274" t="s">
        <v>108</v>
      </c>
      <c r="C4" s="275" t="s">
        <v>415</v>
      </c>
      <c r="D4" s="288">
        <v>45016</v>
      </c>
      <c r="E4" s="288">
        <f>DATE(YEAR(D4)+1,MONTH(D4),DAY((D4)))</f>
        <v>45382</v>
      </c>
      <c r="F4" s="288">
        <f t="shared" ref="F4:L4" si="0">DATE(YEAR(E4)+1,MONTH(E4),DAY((E4)))</f>
        <v>45747</v>
      </c>
      <c r="G4" s="288">
        <f t="shared" si="0"/>
        <v>46112</v>
      </c>
      <c r="H4" s="288">
        <f t="shared" si="0"/>
        <v>46477</v>
      </c>
      <c r="I4" s="288">
        <f t="shared" si="0"/>
        <v>46843</v>
      </c>
      <c r="J4" s="288">
        <f t="shared" si="0"/>
        <v>47208</v>
      </c>
      <c r="K4" s="288">
        <f t="shared" si="0"/>
        <v>47573</v>
      </c>
      <c r="L4" s="289">
        <f t="shared" si="0"/>
        <v>47938</v>
      </c>
    </row>
    <row r="5" spans="2:12" x14ac:dyDescent="0.25">
      <c r="B5" s="277"/>
      <c r="C5" s="250"/>
      <c r="D5" s="250"/>
      <c r="E5" s="250"/>
      <c r="F5" s="250"/>
      <c r="G5" s="250"/>
      <c r="H5" s="250"/>
      <c r="I5" s="250"/>
      <c r="J5" s="250"/>
      <c r="K5" s="250"/>
      <c r="L5" s="290"/>
    </row>
    <row r="6" spans="2:12" x14ac:dyDescent="0.25">
      <c r="B6" s="297" t="s">
        <v>414</v>
      </c>
      <c r="C6" s="249"/>
      <c r="D6" s="250"/>
      <c r="E6" s="250"/>
      <c r="F6" s="250"/>
      <c r="G6" s="250"/>
      <c r="H6" s="250"/>
      <c r="I6" s="250"/>
      <c r="J6" s="250"/>
      <c r="K6" s="250"/>
      <c r="L6" s="290"/>
    </row>
    <row r="7" spans="2:12" x14ac:dyDescent="0.25">
      <c r="B7" s="277" t="s">
        <v>38</v>
      </c>
      <c r="C7" s="256" t="s">
        <v>24</v>
      </c>
      <c r="D7" s="250">
        <f>RM!D7</f>
        <v>90000</v>
      </c>
      <c r="E7" s="250">
        <f>RM!E7</f>
        <v>108000</v>
      </c>
      <c r="F7" s="250">
        <f>RM!F7</f>
        <v>125999.99999999999</v>
      </c>
      <c r="G7" s="250">
        <f>RM!G7</f>
        <v>135000</v>
      </c>
      <c r="H7" s="250">
        <f>RM!H7</f>
        <v>144000</v>
      </c>
      <c r="I7" s="250">
        <f>RM!I7</f>
        <v>153000.00000000003</v>
      </c>
      <c r="J7" s="250">
        <f>RM!J7</f>
        <v>162000.00000000003</v>
      </c>
      <c r="K7" s="250">
        <f>RM!K7</f>
        <v>171000.00000000003</v>
      </c>
      <c r="L7" s="290">
        <f>RM!L7</f>
        <v>171000</v>
      </c>
    </row>
    <row r="8" spans="2:12" x14ac:dyDescent="0.25">
      <c r="B8" s="277" t="s">
        <v>40</v>
      </c>
      <c r="C8" s="256" t="s">
        <v>24</v>
      </c>
      <c r="D8" s="250">
        <f>RM!D8</f>
        <v>22500</v>
      </c>
      <c r="E8" s="250">
        <f>RM!E8</f>
        <v>27000</v>
      </c>
      <c r="F8" s="250">
        <f>RM!F8</f>
        <v>31499.999999999996</v>
      </c>
      <c r="G8" s="250">
        <f>RM!G8</f>
        <v>33750</v>
      </c>
      <c r="H8" s="250">
        <f>RM!H8</f>
        <v>36000</v>
      </c>
      <c r="I8" s="250">
        <f>RM!I8</f>
        <v>38250.000000000007</v>
      </c>
      <c r="J8" s="250">
        <f>RM!J8</f>
        <v>40500.000000000007</v>
      </c>
      <c r="K8" s="250">
        <f>RM!K8</f>
        <v>42750.000000000007</v>
      </c>
      <c r="L8" s="290">
        <f>RM!L8</f>
        <v>42750</v>
      </c>
    </row>
    <row r="9" spans="2:12" x14ac:dyDescent="0.25">
      <c r="B9" s="310" t="s">
        <v>456</v>
      </c>
      <c r="C9" s="256" t="s">
        <v>24</v>
      </c>
      <c r="D9" s="249">
        <f>SUM(D7:D8)</f>
        <v>112500</v>
      </c>
      <c r="E9" s="249">
        <f t="shared" ref="E9:L9" si="1">SUM(E7:E8)</f>
        <v>135000</v>
      </c>
      <c r="F9" s="249">
        <f t="shared" si="1"/>
        <v>157499.99999999997</v>
      </c>
      <c r="G9" s="249">
        <f t="shared" si="1"/>
        <v>168750</v>
      </c>
      <c r="H9" s="249">
        <f t="shared" si="1"/>
        <v>180000</v>
      </c>
      <c r="I9" s="249">
        <f t="shared" si="1"/>
        <v>191250.00000000003</v>
      </c>
      <c r="J9" s="249">
        <f t="shared" si="1"/>
        <v>202500.00000000003</v>
      </c>
      <c r="K9" s="249">
        <f t="shared" si="1"/>
        <v>213750.00000000003</v>
      </c>
      <c r="L9" s="311">
        <f t="shared" si="1"/>
        <v>213750</v>
      </c>
    </row>
    <row r="10" spans="2:12" x14ac:dyDescent="0.25">
      <c r="B10" s="277"/>
      <c r="C10" s="250"/>
      <c r="D10" s="250"/>
      <c r="E10" s="250"/>
      <c r="F10" s="250"/>
      <c r="G10" s="250"/>
      <c r="H10" s="250"/>
      <c r="I10" s="250"/>
      <c r="J10" s="250"/>
      <c r="K10" s="250"/>
      <c r="L10" s="290"/>
    </row>
    <row r="11" spans="2:12" x14ac:dyDescent="0.25">
      <c r="B11" s="277" t="s">
        <v>455</v>
      </c>
      <c r="C11" s="250"/>
      <c r="D11" s="287">
        <v>900</v>
      </c>
      <c r="E11" s="287">
        <f>D11*(1+Inputs!$D$47)</f>
        <v>909</v>
      </c>
      <c r="F11" s="287">
        <f>E11*(1+Inputs!$D$47)</f>
        <v>918.09</v>
      </c>
      <c r="G11" s="287">
        <f>F11*(1+Inputs!$D$47)</f>
        <v>927.2709000000001</v>
      </c>
      <c r="H11" s="287">
        <f>G11*(1+Inputs!$D$47)</f>
        <v>936.54360900000006</v>
      </c>
      <c r="I11" s="287">
        <f>H11*(1+Inputs!$D$47)</f>
        <v>945.90904509000006</v>
      </c>
      <c r="J11" s="287">
        <f>I11*(1+Inputs!$D$47)</f>
        <v>955.36813554090008</v>
      </c>
      <c r="K11" s="287">
        <f>J11*(1+Inputs!$D$47)</f>
        <v>964.92181689630911</v>
      </c>
      <c r="L11" s="293">
        <f>K11*(1+Inputs!$D$47)</f>
        <v>974.57103506527221</v>
      </c>
    </row>
    <row r="12" spans="2:12" x14ac:dyDescent="0.25">
      <c r="B12" s="277"/>
      <c r="C12" s="250"/>
      <c r="D12" s="250"/>
      <c r="E12" s="250"/>
      <c r="F12" s="250"/>
      <c r="G12" s="250"/>
      <c r="H12" s="250"/>
      <c r="I12" s="250"/>
      <c r="J12" s="250"/>
      <c r="K12" s="250"/>
      <c r="L12" s="290"/>
    </row>
    <row r="13" spans="2:12" ht="15.75" thickBot="1" x14ac:dyDescent="0.3">
      <c r="B13" s="279" t="s">
        <v>454</v>
      </c>
      <c r="C13" s="312" t="s">
        <v>457</v>
      </c>
      <c r="D13" s="280">
        <f>(D9*D11)/10^7</f>
        <v>10.125</v>
      </c>
      <c r="E13" s="280">
        <f t="shared" ref="E13:L13" si="2">(E9*E11)/10^7</f>
        <v>12.2715</v>
      </c>
      <c r="F13" s="280">
        <f t="shared" si="2"/>
        <v>14.459917499999998</v>
      </c>
      <c r="G13" s="280">
        <f t="shared" si="2"/>
        <v>15.647696437500002</v>
      </c>
      <c r="H13" s="280">
        <f t="shared" si="2"/>
        <v>16.857784962</v>
      </c>
      <c r="I13" s="280">
        <f t="shared" si="2"/>
        <v>18.090510487346254</v>
      </c>
      <c r="J13" s="280">
        <f t="shared" si="2"/>
        <v>19.346204744703229</v>
      </c>
      <c r="K13" s="280">
        <f t="shared" si="2"/>
        <v>20.625203836158608</v>
      </c>
      <c r="L13" s="281">
        <f t="shared" si="2"/>
        <v>20.831455874520195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2:L20"/>
  <sheetViews>
    <sheetView zoomScale="130" zoomScaleNormal="130" workbookViewId="0">
      <selection activeCell="D20" sqref="D20"/>
    </sheetView>
  </sheetViews>
  <sheetFormatPr defaultRowHeight="15" x14ac:dyDescent="0.25"/>
  <cols>
    <col min="2" max="2" width="32.85546875" bestFit="1" customWidth="1"/>
    <col min="4" max="6" width="12.42578125" customWidth="1"/>
    <col min="7" max="12" width="10" customWidth="1"/>
  </cols>
  <sheetData>
    <row r="2" spans="2:12" x14ac:dyDescent="0.25">
      <c r="B2" s="27" t="s">
        <v>459</v>
      </c>
    </row>
    <row r="3" spans="2:12" x14ac:dyDescent="0.25">
      <c r="B3" s="27"/>
    </row>
    <row r="4" spans="2:12" x14ac:dyDescent="0.25">
      <c r="B4" s="247" t="s">
        <v>108</v>
      </c>
      <c r="C4" s="257" t="s">
        <v>415</v>
      </c>
      <c r="D4" s="257" t="s">
        <v>38</v>
      </c>
      <c r="E4" s="257" t="s">
        <v>40</v>
      </c>
      <c r="F4" s="257" t="s">
        <v>41</v>
      </c>
    </row>
    <row r="5" spans="2:12" x14ac:dyDescent="0.25">
      <c r="B5" t="s">
        <v>460</v>
      </c>
      <c r="C5" s="253" t="s">
        <v>461</v>
      </c>
      <c r="D5" s="253">
        <v>13</v>
      </c>
      <c r="E5" s="253">
        <v>12</v>
      </c>
      <c r="F5" s="253">
        <v>20</v>
      </c>
    </row>
    <row r="6" spans="2:12" x14ac:dyDescent="0.25">
      <c r="B6" t="s">
        <v>462</v>
      </c>
      <c r="C6" s="253" t="s">
        <v>24</v>
      </c>
      <c r="D6" s="253">
        <f>+'Revenue Buildup'!D7</f>
        <v>180000</v>
      </c>
      <c r="E6" s="253">
        <f>+'Revenue Buildup'!D8</f>
        <v>45000</v>
      </c>
      <c r="F6" s="253">
        <f>+'Revenue Buildup'!D9</f>
        <v>90000</v>
      </c>
    </row>
    <row r="7" spans="2:12" x14ac:dyDescent="0.25">
      <c r="B7" t="s">
        <v>463</v>
      </c>
      <c r="C7" s="253" t="s">
        <v>461</v>
      </c>
      <c r="D7" s="313">
        <f>SUMPRODUCT(D5:F5,D6:F6)</f>
        <v>4680000</v>
      </c>
      <c r="E7" s="253"/>
      <c r="F7" s="253"/>
    </row>
    <row r="8" spans="2:12" ht="15.75" thickBot="1" x14ac:dyDescent="0.3"/>
    <row r="9" spans="2:12" x14ac:dyDescent="0.25">
      <c r="B9" s="274" t="s">
        <v>108</v>
      </c>
      <c r="C9" s="275" t="s">
        <v>415</v>
      </c>
      <c r="D9" s="288">
        <v>45016</v>
      </c>
      <c r="E9" s="288">
        <f>DATE(YEAR(D9)+1,MONTH(D9),DAY((D9)))</f>
        <v>45382</v>
      </c>
      <c r="F9" s="288">
        <f t="shared" ref="F9:L9" si="0">DATE(YEAR(E9)+1,MONTH(E9),DAY((E9)))</f>
        <v>45747</v>
      </c>
      <c r="G9" s="288">
        <f t="shared" si="0"/>
        <v>46112</v>
      </c>
      <c r="H9" s="288">
        <f t="shared" si="0"/>
        <v>46477</v>
      </c>
      <c r="I9" s="288">
        <f t="shared" si="0"/>
        <v>46843</v>
      </c>
      <c r="J9" s="288">
        <f t="shared" si="0"/>
        <v>47208</v>
      </c>
      <c r="K9" s="288">
        <f t="shared" si="0"/>
        <v>47573</v>
      </c>
      <c r="L9" s="289">
        <f t="shared" si="0"/>
        <v>47938</v>
      </c>
    </row>
    <row r="10" spans="2:12" x14ac:dyDescent="0.25">
      <c r="B10" s="277" t="s">
        <v>464</v>
      </c>
      <c r="C10" s="301" t="s">
        <v>46</v>
      </c>
      <c r="D10" s="286">
        <f>+'Revenue Buildup'!D12</f>
        <v>0.5</v>
      </c>
      <c r="E10" s="286">
        <f>+'Revenue Buildup'!E12</f>
        <v>0.6</v>
      </c>
      <c r="F10" s="286">
        <f>+'Revenue Buildup'!F12</f>
        <v>0.7</v>
      </c>
      <c r="G10" s="286">
        <f>+'Revenue Buildup'!G12</f>
        <v>0.75</v>
      </c>
      <c r="H10" s="286">
        <f>+'Revenue Buildup'!H12</f>
        <v>0.8</v>
      </c>
      <c r="I10" s="286">
        <f>+'Revenue Buildup'!I12</f>
        <v>0.85000000000000009</v>
      </c>
      <c r="J10" s="286">
        <f>+'Revenue Buildup'!J12</f>
        <v>0.90000000000000013</v>
      </c>
      <c r="K10" s="286">
        <f>+'Revenue Buildup'!K12</f>
        <v>0.95000000000000018</v>
      </c>
      <c r="L10" s="292">
        <f>+'Revenue Buildup'!L12</f>
        <v>0.95</v>
      </c>
    </row>
    <row r="11" spans="2:12" x14ac:dyDescent="0.25">
      <c r="B11" s="277"/>
      <c r="C11" s="250"/>
      <c r="D11" s="250"/>
      <c r="E11" s="250"/>
      <c r="F11" s="250"/>
      <c r="G11" s="250"/>
      <c r="H11" s="250"/>
      <c r="I11" s="250"/>
      <c r="J11" s="250"/>
      <c r="K11" s="250"/>
      <c r="L11" s="290"/>
    </row>
    <row r="12" spans="2:12" x14ac:dyDescent="0.25">
      <c r="B12" s="277" t="s">
        <v>465</v>
      </c>
      <c r="C12" s="250" t="s">
        <v>461</v>
      </c>
      <c r="D12" s="250">
        <f>$D$7*D10</f>
        <v>2340000</v>
      </c>
      <c r="E12" s="250">
        <f t="shared" ref="E12:L12" si="1">$D$7*E10</f>
        <v>2808000</v>
      </c>
      <c r="F12" s="250">
        <f t="shared" si="1"/>
        <v>3276000</v>
      </c>
      <c r="G12" s="250">
        <f t="shared" si="1"/>
        <v>3510000</v>
      </c>
      <c r="H12" s="250">
        <f t="shared" si="1"/>
        <v>3744000</v>
      </c>
      <c r="I12" s="250">
        <f t="shared" si="1"/>
        <v>3978000.0000000005</v>
      </c>
      <c r="J12" s="250">
        <f t="shared" si="1"/>
        <v>4212000.0000000009</v>
      </c>
      <c r="K12" s="250">
        <f t="shared" si="1"/>
        <v>4446000.0000000009</v>
      </c>
      <c r="L12" s="290">
        <f t="shared" si="1"/>
        <v>4446000</v>
      </c>
    </row>
    <row r="13" spans="2:12" x14ac:dyDescent="0.25">
      <c r="B13" s="277"/>
      <c r="C13" s="250"/>
      <c r="D13" s="250"/>
      <c r="E13" s="250"/>
      <c r="F13" s="250"/>
      <c r="G13" s="250"/>
      <c r="H13" s="250"/>
      <c r="I13" s="250"/>
      <c r="J13" s="250"/>
      <c r="K13" s="250"/>
      <c r="L13" s="290"/>
    </row>
    <row r="14" spans="2:12" x14ac:dyDescent="0.25">
      <c r="B14" s="277" t="s">
        <v>466</v>
      </c>
      <c r="C14" s="250" t="s">
        <v>468</v>
      </c>
      <c r="D14" s="250">
        <v>6.65</v>
      </c>
      <c r="E14" s="250">
        <f>D14</f>
        <v>6.65</v>
      </c>
      <c r="F14" s="250">
        <f t="shared" ref="F14:L14" si="2">E14</f>
        <v>6.65</v>
      </c>
      <c r="G14" s="250">
        <f t="shared" si="2"/>
        <v>6.65</v>
      </c>
      <c r="H14" s="250">
        <f t="shared" si="2"/>
        <v>6.65</v>
      </c>
      <c r="I14" s="250">
        <f t="shared" si="2"/>
        <v>6.65</v>
      </c>
      <c r="J14" s="250">
        <f t="shared" si="2"/>
        <v>6.65</v>
      </c>
      <c r="K14" s="250">
        <f t="shared" si="2"/>
        <v>6.65</v>
      </c>
      <c r="L14" s="290">
        <f t="shared" si="2"/>
        <v>6.65</v>
      </c>
    </row>
    <row r="15" spans="2:12" x14ac:dyDescent="0.25">
      <c r="B15" s="277"/>
      <c r="C15" s="250"/>
      <c r="D15" s="250"/>
      <c r="E15" s="250"/>
      <c r="F15" s="250"/>
      <c r="G15" s="250"/>
      <c r="H15" s="250"/>
      <c r="I15" s="250"/>
      <c r="J15" s="250"/>
      <c r="K15" s="250"/>
      <c r="L15" s="290"/>
    </row>
    <row r="16" spans="2:12" x14ac:dyDescent="0.25">
      <c r="B16" s="277" t="s">
        <v>467</v>
      </c>
      <c r="C16" s="250" t="s">
        <v>422</v>
      </c>
      <c r="D16" s="251">
        <f>(D12*D14)/10^7</f>
        <v>1.5561</v>
      </c>
      <c r="E16" s="251">
        <f t="shared" ref="E16:L16" si="3">(E12*E14)/10^7</f>
        <v>1.8673200000000001</v>
      </c>
      <c r="F16" s="251">
        <f t="shared" si="3"/>
        <v>2.1785399999999999</v>
      </c>
      <c r="G16" s="251">
        <f t="shared" si="3"/>
        <v>2.3341500000000002</v>
      </c>
      <c r="H16" s="251">
        <f t="shared" si="3"/>
        <v>2.48976</v>
      </c>
      <c r="I16" s="251">
        <f t="shared" si="3"/>
        <v>2.6453700000000002</v>
      </c>
      <c r="J16" s="251">
        <f t="shared" si="3"/>
        <v>2.8009800000000009</v>
      </c>
      <c r="K16" s="251">
        <f t="shared" si="3"/>
        <v>2.9565900000000007</v>
      </c>
      <c r="L16" s="294">
        <f t="shared" si="3"/>
        <v>2.9565899999999998</v>
      </c>
    </row>
    <row r="17" spans="2:12" x14ac:dyDescent="0.25">
      <c r="B17" s="277"/>
      <c r="C17" s="250"/>
      <c r="D17" s="250"/>
      <c r="E17" s="250"/>
      <c r="F17" s="250"/>
      <c r="G17" s="250"/>
      <c r="H17" s="250"/>
      <c r="I17" s="250"/>
      <c r="J17" s="250"/>
      <c r="K17" s="250"/>
      <c r="L17" s="290"/>
    </row>
    <row r="18" spans="2:12" x14ac:dyDescent="0.25">
      <c r="B18" s="277" t="s">
        <v>469</v>
      </c>
      <c r="C18" s="250" t="s">
        <v>422</v>
      </c>
      <c r="D18" s="251">
        <f>D16*10%</f>
        <v>0.15561000000000003</v>
      </c>
      <c r="E18" s="251">
        <f t="shared" ref="E18:L18" si="4">E16*10%</f>
        <v>0.18673200000000001</v>
      </c>
      <c r="F18" s="251">
        <f t="shared" si="4"/>
        <v>0.21785399999999999</v>
      </c>
      <c r="G18" s="251">
        <f t="shared" si="4"/>
        <v>0.23341500000000004</v>
      </c>
      <c r="H18" s="251">
        <f t="shared" si="4"/>
        <v>0.248976</v>
      </c>
      <c r="I18" s="251">
        <f t="shared" si="4"/>
        <v>0.26453700000000002</v>
      </c>
      <c r="J18" s="251">
        <f t="shared" si="4"/>
        <v>0.28009800000000012</v>
      </c>
      <c r="K18" s="251">
        <f t="shared" si="4"/>
        <v>0.29565900000000006</v>
      </c>
      <c r="L18" s="294">
        <f t="shared" si="4"/>
        <v>0.29565900000000001</v>
      </c>
    </row>
    <row r="19" spans="2:12" x14ac:dyDescent="0.25">
      <c r="B19" s="277"/>
      <c r="C19" s="250"/>
      <c r="D19" s="250"/>
      <c r="E19" s="250"/>
      <c r="F19" s="250"/>
      <c r="G19" s="250"/>
      <c r="H19" s="250"/>
      <c r="I19" s="250"/>
      <c r="J19" s="250"/>
      <c r="K19" s="250"/>
      <c r="L19" s="290"/>
    </row>
    <row r="20" spans="2:12" ht="15.75" thickBot="1" x14ac:dyDescent="0.3">
      <c r="B20" s="279" t="s">
        <v>470</v>
      </c>
      <c r="C20" s="312" t="s">
        <v>422</v>
      </c>
      <c r="D20" s="305">
        <f>D16+D18</f>
        <v>1.7117100000000001</v>
      </c>
      <c r="E20" s="305">
        <f t="shared" ref="E20:L20" si="5">E16+E18</f>
        <v>2.054052</v>
      </c>
      <c r="F20" s="305">
        <f t="shared" si="5"/>
        <v>2.3963939999999999</v>
      </c>
      <c r="G20" s="305">
        <f t="shared" si="5"/>
        <v>2.5675650000000001</v>
      </c>
      <c r="H20" s="305">
        <f t="shared" si="5"/>
        <v>2.7387359999999998</v>
      </c>
      <c r="I20" s="305">
        <f t="shared" si="5"/>
        <v>2.9099070000000005</v>
      </c>
      <c r="J20" s="305">
        <f t="shared" si="5"/>
        <v>3.0810780000000011</v>
      </c>
      <c r="K20" s="305">
        <f t="shared" si="5"/>
        <v>3.2522490000000008</v>
      </c>
      <c r="L20" s="306">
        <f t="shared" si="5"/>
        <v>3.2522489999999999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2:M35"/>
  <sheetViews>
    <sheetView topLeftCell="C1" zoomScale="130" zoomScaleNormal="130" workbookViewId="0">
      <selection activeCell="D29" sqref="D29"/>
    </sheetView>
  </sheetViews>
  <sheetFormatPr defaultRowHeight="15" x14ac:dyDescent="0.25"/>
  <cols>
    <col min="2" max="2" width="38.85546875" customWidth="1"/>
    <col min="3" max="3" width="12.42578125" customWidth="1"/>
    <col min="4" max="4" width="15.5703125" customWidth="1"/>
    <col min="5" max="13" width="9.85546875" bestFit="1" customWidth="1"/>
  </cols>
  <sheetData>
    <row r="2" spans="2:13" x14ac:dyDescent="0.25">
      <c r="B2" t="s">
        <v>473</v>
      </c>
      <c r="C2" s="314">
        <v>0.05</v>
      </c>
    </row>
    <row r="4" spans="2:13" x14ac:dyDescent="0.25">
      <c r="B4" s="249" t="s">
        <v>425</v>
      </c>
      <c r="C4" s="258" t="s">
        <v>426</v>
      </c>
      <c r="D4" s="258" t="s">
        <v>448</v>
      </c>
      <c r="E4" s="254">
        <v>45016</v>
      </c>
      <c r="F4" s="254">
        <f>DATE(YEAR(E4)+1,MONTH(E4),DAY((E4)))</f>
        <v>45382</v>
      </c>
      <c r="G4" s="254">
        <f t="shared" ref="G4:M4" si="0">DATE(YEAR(F4)+1,MONTH(F4),DAY((F4)))</f>
        <v>45747</v>
      </c>
      <c r="H4" s="254">
        <f t="shared" si="0"/>
        <v>46112</v>
      </c>
      <c r="I4" s="254">
        <f t="shared" si="0"/>
        <v>46477</v>
      </c>
      <c r="J4" s="254">
        <f t="shared" si="0"/>
        <v>46843</v>
      </c>
      <c r="K4" s="254">
        <f t="shared" si="0"/>
        <v>47208</v>
      </c>
      <c r="L4" s="254">
        <f t="shared" si="0"/>
        <v>47573</v>
      </c>
      <c r="M4" s="254">
        <f t="shared" si="0"/>
        <v>47938</v>
      </c>
    </row>
    <row r="5" spans="2:13" x14ac:dyDescent="0.25">
      <c r="B5" s="249"/>
      <c r="C5" s="258" t="s">
        <v>427</v>
      </c>
      <c r="D5" s="258" t="s">
        <v>428</v>
      </c>
      <c r="E5" s="258"/>
      <c r="F5" s="258"/>
      <c r="G5" s="258"/>
      <c r="H5" s="258"/>
      <c r="I5" s="258"/>
      <c r="J5" s="258"/>
      <c r="K5" s="258"/>
      <c r="L5" s="258"/>
      <c r="M5" s="258"/>
    </row>
    <row r="6" spans="2:13" x14ac:dyDescent="0.25">
      <c r="B6" s="249" t="s">
        <v>471</v>
      </c>
      <c r="C6" s="258"/>
      <c r="D6" s="258"/>
      <c r="E6" s="258">
        <v>12</v>
      </c>
      <c r="F6" s="258">
        <f>E6</f>
        <v>12</v>
      </c>
      <c r="G6" s="258">
        <f t="shared" ref="G6:M6" si="1">F6</f>
        <v>12</v>
      </c>
      <c r="H6" s="258">
        <f t="shared" si="1"/>
        <v>12</v>
      </c>
      <c r="I6" s="258">
        <f t="shared" si="1"/>
        <v>12</v>
      </c>
      <c r="J6" s="258">
        <f t="shared" si="1"/>
        <v>12</v>
      </c>
      <c r="K6" s="258">
        <f t="shared" si="1"/>
        <v>12</v>
      </c>
      <c r="L6" s="258">
        <f t="shared" si="1"/>
        <v>12</v>
      </c>
      <c r="M6" s="258">
        <f t="shared" si="1"/>
        <v>12</v>
      </c>
    </row>
    <row r="7" spans="2:13" x14ac:dyDescent="0.25">
      <c r="B7" s="318" t="s">
        <v>429</v>
      </c>
      <c r="C7" s="319"/>
      <c r="D7" s="319"/>
      <c r="E7" s="256"/>
      <c r="F7" s="256"/>
      <c r="G7" s="256"/>
      <c r="H7" s="256"/>
      <c r="I7" s="256"/>
      <c r="J7" s="256"/>
      <c r="K7" s="256"/>
      <c r="L7" s="256"/>
      <c r="M7" s="256"/>
    </row>
    <row r="8" spans="2:13" x14ac:dyDescent="0.25">
      <c r="B8" s="298" t="s">
        <v>430</v>
      </c>
      <c r="C8" s="319">
        <v>1</v>
      </c>
      <c r="D8" s="319">
        <v>60000</v>
      </c>
      <c r="E8" s="260">
        <f>($C8*$D8*E$6)/10^7</f>
        <v>7.1999999999999995E-2</v>
      </c>
      <c r="F8" s="260">
        <f>E8*(1+$C$2)</f>
        <v>7.5600000000000001E-2</v>
      </c>
      <c r="G8" s="260">
        <f t="shared" ref="G8:M8" si="2">F8*(1+$C$2)</f>
        <v>7.9380000000000006E-2</v>
      </c>
      <c r="H8" s="260">
        <f t="shared" si="2"/>
        <v>8.3349000000000006E-2</v>
      </c>
      <c r="I8" s="260">
        <f t="shared" si="2"/>
        <v>8.751645000000001E-2</v>
      </c>
      <c r="J8" s="260">
        <f t="shared" si="2"/>
        <v>9.1892272500000011E-2</v>
      </c>
      <c r="K8" s="260">
        <f t="shared" si="2"/>
        <v>9.6486886125000018E-2</v>
      </c>
      <c r="L8" s="260">
        <f t="shared" si="2"/>
        <v>0.10131123043125002</v>
      </c>
      <c r="M8" s="260">
        <f t="shared" si="2"/>
        <v>0.10637679195281254</v>
      </c>
    </row>
    <row r="9" spans="2:13" x14ac:dyDescent="0.25">
      <c r="B9" s="298" t="s">
        <v>431</v>
      </c>
      <c r="C9" s="319">
        <v>2</v>
      </c>
      <c r="D9" s="319">
        <v>25000</v>
      </c>
      <c r="E9" s="260">
        <f t="shared" ref="E9:E16" si="3">($C9*$D9*E$6)/10^7</f>
        <v>0.06</v>
      </c>
      <c r="F9" s="260">
        <f t="shared" ref="F9:M9" si="4">E9*(1+$C$2)</f>
        <v>6.3E-2</v>
      </c>
      <c r="G9" s="260">
        <f t="shared" si="4"/>
        <v>6.615E-2</v>
      </c>
      <c r="H9" s="260">
        <f t="shared" si="4"/>
        <v>6.9457500000000005E-2</v>
      </c>
      <c r="I9" s="260">
        <f t="shared" si="4"/>
        <v>7.2930375000000006E-2</v>
      </c>
      <c r="J9" s="260">
        <f t="shared" si="4"/>
        <v>7.6576893750000014E-2</v>
      </c>
      <c r="K9" s="260">
        <f t="shared" si="4"/>
        <v>8.0405738437500013E-2</v>
      </c>
      <c r="L9" s="260">
        <f t="shared" si="4"/>
        <v>8.4426025359375018E-2</v>
      </c>
      <c r="M9" s="260">
        <f t="shared" si="4"/>
        <v>8.8647326627343773E-2</v>
      </c>
    </row>
    <row r="10" spans="2:13" x14ac:dyDescent="0.25">
      <c r="B10" s="298" t="s">
        <v>432</v>
      </c>
      <c r="C10" s="319">
        <v>2</v>
      </c>
      <c r="D10" s="319">
        <v>18000</v>
      </c>
      <c r="E10" s="260">
        <f t="shared" si="3"/>
        <v>4.3200000000000002E-2</v>
      </c>
      <c r="F10" s="260">
        <f t="shared" ref="F10:M10" si="5">E10*(1+$C$2)</f>
        <v>4.5360000000000004E-2</v>
      </c>
      <c r="G10" s="260">
        <f t="shared" si="5"/>
        <v>4.7628000000000004E-2</v>
      </c>
      <c r="H10" s="260">
        <f t="shared" si="5"/>
        <v>5.0009400000000009E-2</v>
      </c>
      <c r="I10" s="260">
        <f t="shared" si="5"/>
        <v>5.2509870000000014E-2</v>
      </c>
      <c r="J10" s="260">
        <f t="shared" si="5"/>
        <v>5.513536350000002E-2</v>
      </c>
      <c r="K10" s="260">
        <f t="shared" si="5"/>
        <v>5.7892131675000021E-2</v>
      </c>
      <c r="L10" s="260">
        <f t="shared" si="5"/>
        <v>6.0786738258750021E-2</v>
      </c>
      <c r="M10" s="260">
        <f t="shared" si="5"/>
        <v>6.3826075171687521E-2</v>
      </c>
    </row>
    <row r="11" spans="2:13" x14ac:dyDescent="0.25">
      <c r="B11" s="298" t="s">
        <v>433</v>
      </c>
      <c r="C11" s="319">
        <v>1</v>
      </c>
      <c r="D11" s="319">
        <v>20000</v>
      </c>
      <c r="E11" s="260">
        <f t="shared" si="3"/>
        <v>2.4E-2</v>
      </c>
      <c r="F11" s="260">
        <f t="shared" ref="F11:M11" si="6">E11*(1+$C$2)</f>
        <v>2.52E-2</v>
      </c>
      <c r="G11" s="260">
        <f t="shared" si="6"/>
        <v>2.6460000000000001E-2</v>
      </c>
      <c r="H11" s="260">
        <f t="shared" si="6"/>
        <v>2.7783000000000002E-2</v>
      </c>
      <c r="I11" s="260">
        <f t="shared" si="6"/>
        <v>2.9172150000000004E-2</v>
      </c>
      <c r="J11" s="260">
        <f t="shared" si="6"/>
        <v>3.0630757500000005E-2</v>
      </c>
      <c r="K11" s="260">
        <f t="shared" si="6"/>
        <v>3.2162295375000004E-2</v>
      </c>
      <c r="L11" s="260">
        <f t="shared" si="6"/>
        <v>3.3770410143750006E-2</v>
      </c>
      <c r="M11" s="260">
        <f t="shared" si="6"/>
        <v>3.5458930650937505E-2</v>
      </c>
    </row>
    <row r="12" spans="2:13" x14ac:dyDescent="0.25">
      <c r="B12" s="298" t="s">
        <v>434</v>
      </c>
      <c r="C12" s="319">
        <v>2</v>
      </c>
      <c r="D12" s="319">
        <v>18000</v>
      </c>
      <c r="E12" s="260">
        <f t="shared" si="3"/>
        <v>4.3200000000000002E-2</v>
      </c>
      <c r="F12" s="260">
        <f t="shared" ref="F12:M12" si="7">E12*(1+$C$2)</f>
        <v>4.5360000000000004E-2</v>
      </c>
      <c r="G12" s="260">
        <f t="shared" si="7"/>
        <v>4.7628000000000004E-2</v>
      </c>
      <c r="H12" s="260">
        <f t="shared" si="7"/>
        <v>5.0009400000000009E-2</v>
      </c>
      <c r="I12" s="260">
        <f t="shared" si="7"/>
        <v>5.2509870000000014E-2</v>
      </c>
      <c r="J12" s="260">
        <f t="shared" si="7"/>
        <v>5.513536350000002E-2</v>
      </c>
      <c r="K12" s="260">
        <f t="shared" si="7"/>
        <v>5.7892131675000021E-2</v>
      </c>
      <c r="L12" s="260">
        <f t="shared" si="7"/>
        <v>6.0786738258750021E-2</v>
      </c>
      <c r="M12" s="260">
        <f t="shared" si="7"/>
        <v>6.3826075171687521E-2</v>
      </c>
    </row>
    <row r="13" spans="2:13" x14ac:dyDescent="0.25">
      <c r="B13" s="298" t="s">
        <v>435</v>
      </c>
      <c r="C13" s="319">
        <v>4</v>
      </c>
      <c r="D13" s="319">
        <v>12000</v>
      </c>
      <c r="E13" s="260">
        <f t="shared" si="3"/>
        <v>5.7599999999999998E-2</v>
      </c>
      <c r="F13" s="260">
        <f t="shared" ref="F13:M13" si="8">E13*(1+$C$2)</f>
        <v>6.0479999999999999E-2</v>
      </c>
      <c r="G13" s="260">
        <f t="shared" si="8"/>
        <v>6.3504000000000005E-2</v>
      </c>
      <c r="H13" s="260">
        <f t="shared" si="8"/>
        <v>6.6679200000000008E-2</v>
      </c>
      <c r="I13" s="260">
        <f t="shared" si="8"/>
        <v>7.0013160000000005E-2</v>
      </c>
      <c r="J13" s="260">
        <f t="shared" si="8"/>
        <v>7.3513818000000009E-2</v>
      </c>
      <c r="K13" s="260">
        <f t="shared" si="8"/>
        <v>7.7189508900000009E-2</v>
      </c>
      <c r="L13" s="260">
        <f t="shared" si="8"/>
        <v>8.1048984345000019E-2</v>
      </c>
      <c r="M13" s="260">
        <f t="shared" si="8"/>
        <v>8.5101433562250028E-2</v>
      </c>
    </row>
    <row r="14" spans="2:13" x14ac:dyDescent="0.25">
      <c r="B14" s="298" t="s">
        <v>436</v>
      </c>
      <c r="C14" s="319">
        <v>2</v>
      </c>
      <c r="D14" s="319">
        <v>15000</v>
      </c>
      <c r="E14" s="260">
        <f t="shared" si="3"/>
        <v>3.5999999999999997E-2</v>
      </c>
      <c r="F14" s="260">
        <f t="shared" ref="F14:M14" si="9">E14*(1+$C$2)</f>
        <v>3.78E-2</v>
      </c>
      <c r="G14" s="260">
        <f t="shared" si="9"/>
        <v>3.9690000000000003E-2</v>
      </c>
      <c r="H14" s="260">
        <f t="shared" si="9"/>
        <v>4.1674500000000003E-2</v>
      </c>
      <c r="I14" s="260">
        <f t="shared" si="9"/>
        <v>4.3758225000000005E-2</v>
      </c>
      <c r="J14" s="260">
        <f t="shared" si="9"/>
        <v>4.5946136250000005E-2</v>
      </c>
      <c r="K14" s="260">
        <f t="shared" si="9"/>
        <v>4.8243443062500009E-2</v>
      </c>
      <c r="L14" s="260">
        <f t="shared" si="9"/>
        <v>5.0655615215625012E-2</v>
      </c>
      <c r="M14" s="260">
        <f t="shared" si="9"/>
        <v>5.3188395976406268E-2</v>
      </c>
    </row>
    <row r="15" spans="2:13" x14ac:dyDescent="0.25">
      <c r="B15" s="298" t="s">
        <v>437</v>
      </c>
      <c r="C15" s="319">
        <v>2</v>
      </c>
      <c r="D15" s="319">
        <v>12000</v>
      </c>
      <c r="E15" s="260">
        <f t="shared" si="3"/>
        <v>2.8799999999999999E-2</v>
      </c>
      <c r="F15" s="260">
        <f t="shared" ref="F15:M15" si="10">E15*(1+$C$2)</f>
        <v>3.024E-2</v>
      </c>
      <c r="G15" s="260">
        <f t="shared" si="10"/>
        <v>3.1752000000000002E-2</v>
      </c>
      <c r="H15" s="260">
        <f t="shared" si="10"/>
        <v>3.3339600000000004E-2</v>
      </c>
      <c r="I15" s="260">
        <f t="shared" si="10"/>
        <v>3.5006580000000002E-2</v>
      </c>
      <c r="J15" s="260">
        <f t="shared" si="10"/>
        <v>3.6756909000000004E-2</v>
      </c>
      <c r="K15" s="260">
        <f t="shared" si="10"/>
        <v>3.8594754450000004E-2</v>
      </c>
      <c r="L15" s="260">
        <f t="shared" si="10"/>
        <v>4.052449217250001E-2</v>
      </c>
      <c r="M15" s="260">
        <f t="shared" si="10"/>
        <v>4.2550716781125014E-2</v>
      </c>
    </row>
    <row r="16" spans="2:13" x14ac:dyDescent="0.25">
      <c r="B16" s="298" t="s">
        <v>438</v>
      </c>
      <c r="C16" s="319">
        <v>2</v>
      </c>
      <c r="D16" s="319">
        <v>9000</v>
      </c>
      <c r="E16" s="260">
        <f t="shared" si="3"/>
        <v>2.1600000000000001E-2</v>
      </c>
      <c r="F16" s="260">
        <f t="shared" ref="F16:M16" si="11">E16*(1+$C$2)</f>
        <v>2.2680000000000002E-2</v>
      </c>
      <c r="G16" s="260">
        <f t="shared" si="11"/>
        <v>2.3814000000000002E-2</v>
      </c>
      <c r="H16" s="260">
        <f t="shared" si="11"/>
        <v>2.5004700000000005E-2</v>
      </c>
      <c r="I16" s="260">
        <f t="shared" si="11"/>
        <v>2.6254935000000007E-2</v>
      </c>
      <c r="J16" s="260">
        <f t="shared" si="11"/>
        <v>2.756768175000001E-2</v>
      </c>
      <c r="K16" s="260">
        <f t="shared" si="11"/>
        <v>2.894606583750001E-2</v>
      </c>
      <c r="L16" s="260">
        <f t="shared" si="11"/>
        <v>3.0393369129375011E-2</v>
      </c>
      <c r="M16" s="260">
        <f t="shared" si="11"/>
        <v>3.1913037585843761E-2</v>
      </c>
    </row>
    <row r="17" spans="2:13" x14ac:dyDescent="0.25">
      <c r="B17" s="298" t="s">
        <v>472</v>
      </c>
      <c r="C17" s="319"/>
      <c r="D17" s="319"/>
      <c r="E17" s="260">
        <f>SUM(E8:E16)*20%</f>
        <v>7.7280000000000001E-2</v>
      </c>
      <c r="F17" s="260">
        <f t="shared" ref="F17:M17" si="12">E17*(1+$C$2)</f>
        <v>8.1144000000000008E-2</v>
      </c>
      <c r="G17" s="260">
        <f t="shared" si="12"/>
        <v>8.5201200000000019E-2</v>
      </c>
      <c r="H17" s="260">
        <f t="shared" si="12"/>
        <v>8.9461260000000029E-2</v>
      </c>
      <c r="I17" s="260">
        <f t="shared" si="12"/>
        <v>9.3934323000000028E-2</v>
      </c>
      <c r="J17" s="260">
        <f t="shared" si="12"/>
        <v>9.863103915000003E-2</v>
      </c>
      <c r="K17" s="260">
        <f t="shared" si="12"/>
        <v>0.10356259110750003</v>
      </c>
      <c r="L17" s="260">
        <f t="shared" si="12"/>
        <v>0.10874072066287503</v>
      </c>
      <c r="M17" s="260">
        <f t="shared" si="12"/>
        <v>0.11417775669601879</v>
      </c>
    </row>
    <row r="18" spans="2:13" ht="15.75" thickBot="1" x14ac:dyDescent="0.3">
      <c r="B18" s="315" t="s">
        <v>397</v>
      </c>
      <c r="C18" s="316">
        <f>SUM(C8:C17)</f>
        <v>18</v>
      </c>
      <c r="D18" s="316"/>
      <c r="E18" s="317">
        <f t="shared" ref="E18:M18" si="13">SUM(E8:E17)</f>
        <v>0.46367999999999998</v>
      </c>
      <c r="F18" s="317">
        <f t="shared" si="13"/>
        <v>0.48686399999999996</v>
      </c>
      <c r="G18" s="317">
        <f t="shared" si="13"/>
        <v>0.51120719999999997</v>
      </c>
      <c r="H18" s="317">
        <f t="shared" si="13"/>
        <v>0.53676756000000003</v>
      </c>
      <c r="I18" s="317">
        <f t="shared" si="13"/>
        <v>0.56360593800000014</v>
      </c>
      <c r="J18" s="317">
        <f t="shared" si="13"/>
        <v>0.59178623490000015</v>
      </c>
      <c r="K18" s="317">
        <f t="shared" si="13"/>
        <v>0.62137554664500005</v>
      </c>
      <c r="L18" s="317">
        <f t="shared" si="13"/>
        <v>0.65244432397725005</v>
      </c>
      <c r="M18" s="317">
        <f t="shared" si="13"/>
        <v>0.68506654017611279</v>
      </c>
    </row>
    <row r="19" spans="2:13" ht="15.75" thickTop="1" x14ac:dyDescent="0.25">
      <c r="B19" s="19"/>
      <c r="C19" s="28"/>
      <c r="D19" s="28"/>
      <c r="E19" s="253"/>
      <c r="F19" s="253"/>
      <c r="G19" s="253"/>
      <c r="H19" s="253"/>
      <c r="I19" s="253"/>
      <c r="J19" s="253"/>
      <c r="K19" s="253"/>
      <c r="L19" s="253"/>
      <c r="M19" s="253"/>
    </row>
    <row r="20" spans="2:13" x14ac:dyDescent="0.25">
      <c r="B20" s="318" t="s">
        <v>439</v>
      </c>
      <c r="C20" s="319"/>
      <c r="D20" s="319"/>
      <c r="E20" s="256"/>
      <c r="F20" s="256"/>
      <c r="G20" s="256"/>
      <c r="H20" s="256"/>
      <c r="I20" s="256"/>
      <c r="J20" s="256"/>
      <c r="K20" s="256"/>
      <c r="L20" s="256"/>
      <c r="M20" s="256"/>
    </row>
    <row r="21" spans="2:13" x14ac:dyDescent="0.25">
      <c r="B21" s="298" t="s">
        <v>440</v>
      </c>
      <c r="C21" s="319">
        <v>1</v>
      </c>
      <c r="D21" s="319">
        <v>70000</v>
      </c>
      <c r="E21" s="260">
        <f t="shared" ref="E21:E25" si="14">($C21*$D21*E$6)/10^7</f>
        <v>8.4000000000000005E-2</v>
      </c>
      <c r="F21" s="260">
        <f t="shared" ref="F21:M21" si="15">E21*(1+$C$2)</f>
        <v>8.8200000000000014E-2</v>
      </c>
      <c r="G21" s="260">
        <f t="shared" si="15"/>
        <v>9.2610000000000026E-2</v>
      </c>
      <c r="H21" s="260">
        <f t="shared" si="15"/>
        <v>9.7240500000000035E-2</v>
      </c>
      <c r="I21" s="260">
        <f t="shared" si="15"/>
        <v>0.10210252500000004</v>
      </c>
      <c r="J21" s="260">
        <f t="shared" si="15"/>
        <v>0.10720765125000005</v>
      </c>
      <c r="K21" s="260">
        <f t="shared" si="15"/>
        <v>0.11256803381250005</v>
      </c>
      <c r="L21" s="260">
        <f t="shared" si="15"/>
        <v>0.11819643550312506</v>
      </c>
      <c r="M21" s="260">
        <f t="shared" si="15"/>
        <v>0.12410625727828131</v>
      </c>
    </row>
    <row r="22" spans="2:13" x14ac:dyDescent="0.25">
      <c r="B22" s="298" t="s">
        <v>441</v>
      </c>
      <c r="C22" s="319">
        <v>1</v>
      </c>
      <c r="D22" s="319">
        <v>50000</v>
      </c>
      <c r="E22" s="260">
        <f t="shared" si="14"/>
        <v>0.06</v>
      </c>
      <c r="F22" s="260">
        <f t="shared" ref="F22:M22" si="16">E22*(1+$C$2)</f>
        <v>6.3E-2</v>
      </c>
      <c r="G22" s="260">
        <f t="shared" si="16"/>
        <v>6.615E-2</v>
      </c>
      <c r="H22" s="260">
        <f t="shared" si="16"/>
        <v>6.9457500000000005E-2</v>
      </c>
      <c r="I22" s="260">
        <f t="shared" si="16"/>
        <v>7.2930375000000006E-2</v>
      </c>
      <c r="J22" s="260">
        <f t="shared" si="16"/>
        <v>7.6576893750000014E-2</v>
      </c>
      <c r="K22" s="260">
        <f t="shared" si="16"/>
        <v>8.0405738437500013E-2</v>
      </c>
      <c r="L22" s="260">
        <f t="shared" si="16"/>
        <v>8.4426025359375018E-2</v>
      </c>
      <c r="M22" s="260">
        <f t="shared" si="16"/>
        <v>8.8647326627343773E-2</v>
      </c>
    </row>
    <row r="23" spans="2:13" x14ac:dyDescent="0.25">
      <c r="B23" s="298" t="s">
        <v>442</v>
      </c>
      <c r="C23" s="319">
        <v>1</v>
      </c>
      <c r="D23" s="319">
        <v>25000</v>
      </c>
      <c r="E23" s="260">
        <f t="shared" si="14"/>
        <v>0.03</v>
      </c>
      <c r="F23" s="260">
        <f t="shared" ref="F23:M23" si="17">E23*(1+$C$2)</f>
        <v>3.15E-2</v>
      </c>
      <c r="G23" s="260">
        <f t="shared" si="17"/>
        <v>3.3075E-2</v>
      </c>
      <c r="H23" s="260">
        <f t="shared" si="17"/>
        <v>3.4728750000000003E-2</v>
      </c>
      <c r="I23" s="260">
        <f t="shared" si="17"/>
        <v>3.6465187500000003E-2</v>
      </c>
      <c r="J23" s="260">
        <f t="shared" si="17"/>
        <v>3.8288446875000007E-2</v>
      </c>
      <c r="K23" s="260">
        <f t="shared" si="17"/>
        <v>4.0202869218750006E-2</v>
      </c>
      <c r="L23" s="260">
        <f t="shared" si="17"/>
        <v>4.2213012679687509E-2</v>
      </c>
      <c r="M23" s="260">
        <f t="shared" si="17"/>
        <v>4.4323663313671886E-2</v>
      </c>
    </row>
    <row r="24" spans="2:13" x14ac:dyDescent="0.25">
      <c r="B24" s="298" t="s">
        <v>443</v>
      </c>
      <c r="C24" s="319">
        <v>1</v>
      </c>
      <c r="D24" s="319">
        <v>18000</v>
      </c>
      <c r="E24" s="260">
        <f t="shared" si="14"/>
        <v>2.1600000000000001E-2</v>
      </c>
      <c r="F24" s="260">
        <f t="shared" ref="F24:M24" si="18">E24*(1+$C$2)</f>
        <v>2.2680000000000002E-2</v>
      </c>
      <c r="G24" s="260">
        <f t="shared" si="18"/>
        <v>2.3814000000000002E-2</v>
      </c>
      <c r="H24" s="260">
        <f t="shared" si="18"/>
        <v>2.5004700000000005E-2</v>
      </c>
      <c r="I24" s="260">
        <f t="shared" si="18"/>
        <v>2.6254935000000007E-2</v>
      </c>
      <c r="J24" s="260">
        <f t="shared" si="18"/>
        <v>2.756768175000001E-2</v>
      </c>
      <c r="K24" s="260">
        <f t="shared" si="18"/>
        <v>2.894606583750001E-2</v>
      </c>
      <c r="L24" s="260">
        <f t="shared" si="18"/>
        <v>3.0393369129375011E-2</v>
      </c>
      <c r="M24" s="260">
        <f t="shared" si="18"/>
        <v>3.1913037585843761E-2</v>
      </c>
    </row>
    <row r="25" spans="2:13" x14ac:dyDescent="0.25">
      <c r="B25" s="298" t="s">
        <v>444</v>
      </c>
      <c r="C25" s="319">
        <v>2</v>
      </c>
      <c r="D25" s="319">
        <v>10000</v>
      </c>
      <c r="E25" s="260">
        <f t="shared" si="14"/>
        <v>2.4E-2</v>
      </c>
      <c r="F25" s="260">
        <f t="shared" ref="F25:M25" si="19">E25*(1+$C$2)</f>
        <v>2.52E-2</v>
      </c>
      <c r="G25" s="260">
        <f t="shared" si="19"/>
        <v>2.6460000000000001E-2</v>
      </c>
      <c r="H25" s="260">
        <f t="shared" si="19"/>
        <v>2.7783000000000002E-2</v>
      </c>
      <c r="I25" s="260">
        <f t="shared" si="19"/>
        <v>2.9172150000000004E-2</v>
      </c>
      <c r="J25" s="260">
        <f t="shared" si="19"/>
        <v>3.0630757500000005E-2</v>
      </c>
      <c r="K25" s="260">
        <f t="shared" si="19"/>
        <v>3.2162295375000004E-2</v>
      </c>
      <c r="L25" s="260">
        <f t="shared" si="19"/>
        <v>3.3770410143750006E-2</v>
      </c>
      <c r="M25" s="260">
        <f t="shared" si="19"/>
        <v>3.5458930650937505E-2</v>
      </c>
    </row>
    <row r="26" spans="2:13" x14ac:dyDescent="0.25">
      <c r="B26" s="298" t="s">
        <v>472</v>
      </c>
      <c r="C26" s="319"/>
      <c r="D26" s="319"/>
      <c r="E26" s="260">
        <f>SUM(E21:E25)*20%</f>
        <v>4.3920000000000008E-2</v>
      </c>
      <c r="F26" s="260">
        <f t="shared" ref="F26:M26" si="20">SUM(F21:F25)*20%</f>
        <v>4.6116000000000004E-2</v>
      </c>
      <c r="G26" s="260">
        <f t="shared" si="20"/>
        <v>4.8421800000000008E-2</v>
      </c>
      <c r="H26" s="260">
        <f t="shared" si="20"/>
        <v>5.0842890000000009E-2</v>
      </c>
      <c r="I26" s="260">
        <f t="shared" si="20"/>
        <v>5.3385034500000011E-2</v>
      </c>
      <c r="J26" s="260">
        <f t="shared" si="20"/>
        <v>5.605428622500002E-2</v>
      </c>
      <c r="K26" s="260">
        <f t="shared" si="20"/>
        <v>5.8857000536250016E-2</v>
      </c>
      <c r="L26" s="260">
        <f t="shared" si="20"/>
        <v>6.1799850563062524E-2</v>
      </c>
      <c r="M26" s="260">
        <f t="shared" si="20"/>
        <v>6.4889843091215649E-2</v>
      </c>
    </row>
    <row r="27" spans="2:13" ht="15.75" thickBot="1" x14ac:dyDescent="0.3">
      <c r="B27" s="315" t="s">
        <v>397</v>
      </c>
      <c r="C27" s="316">
        <f>SUM(C21:C25)</f>
        <v>6</v>
      </c>
      <c r="D27" s="316"/>
      <c r="E27" s="317">
        <f>SUM(E21:E25)</f>
        <v>0.21960000000000002</v>
      </c>
      <c r="F27" s="317">
        <f t="shared" ref="F27:M27" si="21">SUM(F21:F25)</f>
        <v>0.23058000000000001</v>
      </c>
      <c r="G27" s="317">
        <f t="shared" si="21"/>
        <v>0.24210900000000002</v>
      </c>
      <c r="H27" s="317">
        <f t="shared" si="21"/>
        <v>0.25421445000000004</v>
      </c>
      <c r="I27" s="317">
        <f t="shared" si="21"/>
        <v>0.26692517250000003</v>
      </c>
      <c r="J27" s="317">
        <f t="shared" si="21"/>
        <v>0.28027143112500008</v>
      </c>
      <c r="K27" s="317">
        <f t="shared" si="21"/>
        <v>0.29428500268125007</v>
      </c>
      <c r="L27" s="317">
        <f t="shared" si="21"/>
        <v>0.3089992528153126</v>
      </c>
      <c r="M27" s="317">
        <f t="shared" si="21"/>
        <v>0.32444921545607824</v>
      </c>
    </row>
    <row r="28" spans="2:13" ht="15.75" thickTop="1" x14ac:dyDescent="0.25">
      <c r="B28" s="19"/>
      <c r="C28" s="28"/>
      <c r="D28" s="28"/>
      <c r="E28" s="253"/>
      <c r="F28" s="253"/>
      <c r="G28" s="253"/>
      <c r="H28" s="253"/>
      <c r="I28" s="253"/>
      <c r="J28" s="253"/>
      <c r="K28" s="253"/>
      <c r="L28" s="253"/>
      <c r="M28" s="253"/>
    </row>
    <row r="29" spans="2:13" x14ac:dyDescent="0.25">
      <c r="B29" s="298" t="s">
        <v>445</v>
      </c>
      <c r="C29" s="319">
        <v>30</v>
      </c>
      <c r="D29" s="319">
        <v>10000</v>
      </c>
      <c r="E29" s="260">
        <f t="shared" ref="E29:E31" si="22">($C29*$D29*E$6)/10^7</f>
        <v>0.36</v>
      </c>
      <c r="F29" s="260">
        <f t="shared" ref="F29:M29" si="23">E29*(1+$C$2)</f>
        <v>0.378</v>
      </c>
      <c r="G29" s="260">
        <f t="shared" si="23"/>
        <v>0.39690000000000003</v>
      </c>
      <c r="H29" s="260">
        <f t="shared" si="23"/>
        <v>0.41674500000000003</v>
      </c>
      <c r="I29" s="260">
        <f t="shared" si="23"/>
        <v>0.43758225000000006</v>
      </c>
      <c r="J29" s="260">
        <f t="shared" si="23"/>
        <v>0.45946136250000008</v>
      </c>
      <c r="K29" s="260">
        <f t="shared" si="23"/>
        <v>0.48243443062500013</v>
      </c>
      <c r="L29" s="260">
        <f t="shared" si="23"/>
        <v>0.50655615215625016</v>
      </c>
      <c r="M29" s="260">
        <f t="shared" si="23"/>
        <v>0.53188395976406266</v>
      </c>
    </row>
    <row r="30" spans="2:13" x14ac:dyDescent="0.25">
      <c r="B30" s="298" t="s">
        <v>446</v>
      </c>
      <c r="C30" s="319">
        <v>15</v>
      </c>
      <c r="D30" s="319">
        <v>6000</v>
      </c>
      <c r="E30" s="260">
        <f t="shared" si="22"/>
        <v>0.108</v>
      </c>
      <c r="F30" s="260">
        <f t="shared" ref="F30:M30" si="24">E30*(1+$C$2)</f>
        <v>0.1134</v>
      </c>
      <c r="G30" s="260">
        <f t="shared" si="24"/>
        <v>0.11907000000000001</v>
      </c>
      <c r="H30" s="260">
        <f t="shared" si="24"/>
        <v>0.12502350000000001</v>
      </c>
      <c r="I30" s="260">
        <f t="shared" si="24"/>
        <v>0.13127467500000001</v>
      </c>
      <c r="J30" s="260">
        <f t="shared" si="24"/>
        <v>0.13783840875</v>
      </c>
      <c r="K30" s="260">
        <f t="shared" si="24"/>
        <v>0.14473032918750001</v>
      </c>
      <c r="L30" s="260">
        <f t="shared" si="24"/>
        <v>0.15196684564687502</v>
      </c>
      <c r="M30" s="260">
        <f t="shared" si="24"/>
        <v>0.15956518792921878</v>
      </c>
    </row>
    <row r="31" spans="2:13" x14ac:dyDescent="0.25">
      <c r="B31" s="298" t="s">
        <v>447</v>
      </c>
      <c r="C31" s="319">
        <v>15</v>
      </c>
      <c r="D31" s="319">
        <v>5000</v>
      </c>
      <c r="E31" s="260">
        <f t="shared" si="22"/>
        <v>0.09</v>
      </c>
      <c r="F31" s="260">
        <f t="shared" ref="F31:M31" si="25">E31*(1+$C$2)</f>
        <v>9.4500000000000001E-2</v>
      </c>
      <c r="G31" s="260">
        <f t="shared" si="25"/>
        <v>9.9225000000000008E-2</v>
      </c>
      <c r="H31" s="260">
        <f t="shared" si="25"/>
        <v>0.10418625000000001</v>
      </c>
      <c r="I31" s="260">
        <f t="shared" si="25"/>
        <v>0.10939556250000002</v>
      </c>
      <c r="J31" s="260">
        <f t="shared" si="25"/>
        <v>0.11486534062500002</v>
      </c>
      <c r="K31" s="260">
        <f t="shared" si="25"/>
        <v>0.12060860765625003</v>
      </c>
      <c r="L31" s="260">
        <f t="shared" si="25"/>
        <v>0.12663903803906254</v>
      </c>
      <c r="M31" s="260">
        <f t="shared" si="25"/>
        <v>0.13297098994101567</v>
      </c>
    </row>
    <row r="32" spans="2:13" ht="15.75" thickBot="1" x14ac:dyDescent="0.3">
      <c r="B32" s="315" t="s">
        <v>397</v>
      </c>
      <c r="C32" s="316">
        <f>SUM(C29:C31)</f>
        <v>60</v>
      </c>
      <c r="D32" s="316"/>
      <c r="E32" s="317">
        <f>SUM(E29:E31)</f>
        <v>0.55799999999999994</v>
      </c>
      <c r="F32" s="317">
        <f t="shared" ref="F32:M32" si="26">SUM(F29:F31)</f>
        <v>0.58589999999999998</v>
      </c>
      <c r="G32" s="317">
        <f t="shared" si="26"/>
        <v>0.61519500000000005</v>
      </c>
      <c r="H32" s="317">
        <f t="shared" si="26"/>
        <v>0.64595475000000013</v>
      </c>
      <c r="I32" s="317">
        <f t="shared" si="26"/>
        <v>0.67825248750000011</v>
      </c>
      <c r="J32" s="317">
        <f t="shared" si="26"/>
        <v>0.71216511187500009</v>
      </c>
      <c r="K32" s="317">
        <f t="shared" si="26"/>
        <v>0.74777336746875012</v>
      </c>
      <c r="L32" s="317">
        <f t="shared" si="26"/>
        <v>0.78516203584218769</v>
      </c>
      <c r="M32" s="317">
        <f t="shared" si="26"/>
        <v>0.82442013763429711</v>
      </c>
    </row>
    <row r="33" spans="2:13" ht="15.75" thickTop="1" x14ac:dyDescent="0.25">
      <c r="C33" s="253"/>
      <c r="D33" s="253"/>
      <c r="E33" s="253"/>
      <c r="F33" s="253"/>
      <c r="G33" s="253"/>
      <c r="H33" s="253"/>
      <c r="I33" s="253"/>
      <c r="J33" s="253"/>
      <c r="K33" s="253"/>
      <c r="L33" s="253"/>
      <c r="M33" s="253"/>
    </row>
    <row r="34" spans="2:13" ht="15.75" thickBot="1" x14ac:dyDescent="0.3">
      <c r="B34" s="315" t="s">
        <v>474</v>
      </c>
      <c r="C34" s="316">
        <f>C18+C27+C32</f>
        <v>84</v>
      </c>
      <c r="D34" s="316"/>
      <c r="E34" s="317">
        <f t="shared" ref="E34:M34" si="27">E18+E27+E32</f>
        <v>1.2412799999999999</v>
      </c>
      <c r="F34" s="317">
        <f t="shared" si="27"/>
        <v>1.3033440000000001</v>
      </c>
      <c r="G34" s="317">
        <f t="shared" si="27"/>
        <v>1.3685111999999999</v>
      </c>
      <c r="H34" s="317">
        <f t="shared" si="27"/>
        <v>1.43693676</v>
      </c>
      <c r="I34" s="317">
        <f t="shared" si="27"/>
        <v>1.5087835980000004</v>
      </c>
      <c r="J34" s="317">
        <f t="shared" si="27"/>
        <v>1.5842227779000004</v>
      </c>
      <c r="K34" s="317">
        <f t="shared" si="27"/>
        <v>1.6634339167950003</v>
      </c>
      <c r="L34" s="317">
        <f t="shared" si="27"/>
        <v>1.7466056126347502</v>
      </c>
      <c r="M34" s="317">
        <f t="shared" si="27"/>
        <v>1.8339358932664882</v>
      </c>
    </row>
    <row r="35" spans="2:13" ht="15.75" thickTop="1" x14ac:dyDescent="0.25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3:L13"/>
  <sheetViews>
    <sheetView zoomScale="120" zoomScaleNormal="120" workbookViewId="0">
      <selection activeCell="D12" sqref="D12"/>
    </sheetView>
  </sheetViews>
  <sheetFormatPr defaultRowHeight="15" x14ac:dyDescent="0.25"/>
  <cols>
    <col min="2" max="2" width="32.5703125" customWidth="1"/>
    <col min="3" max="12" width="13" customWidth="1"/>
  </cols>
  <sheetData>
    <row r="3" spans="2:12" x14ac:dyDescent="0.25">
      <c r="B3" s="27" t="s">
        <v>475</v>
      </c>
    </row>
    <row r="5" spans="2:12" x14ac:dyDescent="0.25">
      <c r="B5" s="249" t="s">
        <v>108</v>
      </c>
      <c r="C5" s="250"/>
      <c r="D5" s="254">
        <v>45016</v>
      </c>
      <c r="E5" s="254">
        <f>DATE(YEAR(D5)+1,MONTH(D5),DAY((D5)))</f>
        <v>45382</v>
      </c>
      <c r="F5" s="254">
        <f t="shared" ref="F5:L5" si="0">DATE(YEAR(E5)+1,MONTH(E5),DAY((E5)))</f>
        <v>45747</v>
      </c>
      <c r="G5" s="254">
        <f t="shared" si="0"/>
        <v>46112</v>
      </c>
      <c r="H5" s="254">
        <f t="shared" si="0"/>
        <v>46477</v>
      </c>
      <c r="I5" s="254">
        <f t="shared" si="0"/>
        <v>46843</v>
      </c>
      <c r="J5" s="254">
        <f t="shared" si="0"/>
        <v>47208</v>
      </c>
      <c r="K5" s="254">
        <f t="shared" si="0"/>
        <v>47573</v>
      </c>
      <c r="L5" s="254">
        <f t="shared" si="0"/>
        <v>47938</v>
      </c>
    </row>
    <row r="6" spans="2:12" x14ac:dyDescent="0.25">
      <c r="B6" s="320" t="s">
        <v>476</v>
      </c>
      <c r="C6" s="320"/>
      <c r="D6" s="260">
        <f>+FAS!C17</f>
        <v>10.198804996711049</v>
      </c>
      <c r="E6" s="260">
        <f>+FAS!D17</f>
        <v>9.2299185220234996</v>
      </c>
      <c r="F6" s="260">
        <f>+FAS!E17</f>
        <v>8.3530762624312676</v>
      </c>
      <c r="G6" s="260">
        <f>+FAS!F17</f>
        <v>7.5595340175002974</v>
      </c>
      <c r="H6" s="260">
        <f>+FAS!G17</f>
        <v>6.8413782858377692</v>
      </c>
      <c r="I6" s="260">
        <f>+FAS!H17</f>
        <v>6.1914473486831811</v>
      </c>
      <c r="J6" s="260">
        <f>+FAS!I17</f>
        <v>5.6032598505582794</v>
      </c>
      <c r="K6" s="260">
        <f>+FAS!J17</f>
        <v>5.0709501647552431</v>
      </c>
      <c r="L6" s="260">
        <f>+FAS!K17</f>
        <v>4.5892098991034951</v>
      </c>
    </row>
    <row r="7" spans="2:12" x14ac:dyDescent="0.25">
      <c r="B7" s="250" t="s">
        <v>477</v>
      </c>
      <c r="C7" s="250"/>
      <c r="D7" s="260">
        <f>FAS!C24</f>
        <v>135.38178404755698</v>
      </c>
      <c r="E7" s="260">
        <f>FAS!D24</f>
        <v>110.87768113494917</v>
      </c>
      <c r="F7" s="260">
        <f>FAS!E24</f>
        <v>90.808820849523372</v>
      </c>
      <c r="G7" s="260">
        <f>FAS!F24</f>
        <v>74.372424275759641</v>
      </c>
      <c r="H7" s="260">
        <f>FAS!G24</f>
        <v>60.911015481847144</v>
      </c>
      <c r="I7" s="260">
        <f>FAS!H24</f>
        <v>49.886121679632808</v>
      </c>
      <c r="J7" s="260">
        <f>FAS!I24</f>
        <v>40.856733655619266</v>
      </c>
      <c r="K7" s="260">
        <f>FAS!J24</f>
        <v>33.46166486395218</v>
      </c>
      <c r="L7" s="260">
        <f>FAS!K24</f>
        <v>27.405103523576834</v>
      </c>
    </row>
    <row r="8" spans="2:12" x14ac:dyDescent="0.25">
      <c r="B8" s="250"/>
      <c r="C8" s="250"/>
      <c r="D8" s="250"/>
      <c r="E8" s="250"/>
      <c r="F8" s="250"/>
      <c r="G8" s="250"/>
      <c r="H8" s="250"/>
      <c r="I8" s="250"/>
      <c r="J8" s="250"/>
      <c r="K8" s="250"/>
      <c r="L8" s="250"/>
    </row>
    <row r="9" spans="2:12" x14ac:dyDescent="0.25">
      <c r="B9" s="318" t="s">
        <v>478</v>
      </c>
      <c r="C9" s="250"/>
      <c r="D9" s="250"/>
      <c r="E9" s="250"/>
      <c r="F9" s="250"/>
      <c r="G9" s="250"/>
      <c r="H9" s="250"/>
      <c r="I9" s="250"/>
      <c r="J9" s="250"/>
      <c r="K9" s="250"/>
      <c r="L9" s="250"/>
    </row>
    <row r="10" spans="2:12" x14ac:dyDescent="0.25">
      <c r="B10" s="250" t="s">
        <v>479</v>
      </c>
      <c r="C10" s="321">
        <v>2E-3</v>
      </c>
      <c r="D10" s="260">
        <f>D6*$C$10</f>
        <v>2.0397609993422099E-2</v>
      </c>
      <c r="E10" s="260">
        <f t="shared" ref="E10:L10" si="1">E6*$C$10</f>
        <v>1.8459837044046998E-2</v>
      </c>
      <c r="F10" s="260">
        <f t="shared" si="1"/>
        <v>1.6706152524862534E-2</v>
      </c>
      <c r="G10" s="260">
        <f t="shared" si="1"/>
        <v>1.5119068035000596E-2</v>
      </c>
      <c r="H10" s="260">
        <f t="shared" si="1"/>
        <v>1.3682756571675539E-2</v>
      </c>
      <c r="I10" s="260">
        <f t="shared" si="1"/>
        <v>1.2382894697366363E-2</v>
      </c>
      <c r="J10" s="260">
        <f t="shared" si="1"/>
        <v>1.1206519701116559E-2</v>
      </c>
      <c r="K10" s="260">
        <f t="shared" si="1"/>
        <v>1.0141900329510487E-2</v>
      </c>
      <c r="L10" s="260">
        <f t="shared" si="1"/>
        <v>9.1784197982069902E-3</v>
      </c>
    </row>
    <row r="11" spans="2:12" x14ac:dyDescent="0.25">
      <c r="B11" s="250" t="s">
        <v>59</v>
      </c>
      <c r="C11" s="321">
        <v>3.5000000000000001E-3</v>
      </c>
      <c r="D11" s="260">
        <f>D7*$C$11</f>
        <v>0.47383624416644943</v>
      </c>
      <c r="E11" s="260">
        <f t="shared" ref="E11:L11" si="2">E7*$C$11</f>
        <v>0.38807188397232212</v>
      </c>
      <c r="F11" s="260">
        <f t="shared" si="2"/>
        <v>0.31783087297333179</v>
      </c>
      <c r="G11" s="260">
        <f t="shared" si="2"/>
        <v>0.26030348496515876</v>
      </c>
      <c r="H11" s="260">
        <f t="shared" si="2"/>
        <v>0.21318855418646501</v>
      </c>
      <c r="I11" s="260">
        <f t="shared" si="2"/>
        <v>0.17460142587871483</v>
      </c>
      <c r="J11" s="260">
        <f t="shared" si="2"/>
        <v>0.14299856779466744</v>
      </c>
      <c r="K11" s="260">
        <f t="shared" si="2"/>
        <v>0.11711582702383264</v>
      </c>
      <c r="L11" s="260">
        <f t="shared" si="2"/>
        <v>9.5917862332518922E-2</v>
      </c>
    </row>
    <row r="12" spans="2:12" ht="15.75" thickBot="1" x14ac:dyDescent="0.3">
      <c r="B12" s="315" t="s">
        <v>397</v>
      </c>
      <c r="C12" s="315"/>
      <c r="D12" s="317">
        <f>SUM(D10:D11)</f>
        <v>0.49423385415987153</v>
      </c>
      <c r="E12" s="317">
        <f t="shared" ref="E12:L12" si="3">SUM(E10:E11)</f>
        <v>0.40653172101636914</v>
      </c>
      <c r="F12" s="317">
        <f t="shared" si="3"/>
        <v>0.33453702549819431</v>
      </c>
      <c r="G12" s="317">
        <f t="shared" si="3"/>
        <v>0.27542255300015933</v>
      </c>
      <c r="H12" s="317">
        <f t="shared" si="3"/>
        <v>0.22687131075814054</v>
      </c>
      <c r="I12" s="317">
        <f t="shared" si="3"/>
        <v>0.18698432057608119</v>
      </c>
      <c r="J12" s="317">
        <f t="shared" si="3"/>
        <v>0.15420508749578399</v>
      </c>
      <c r="K12" s="317">
        <f t="shared" si="3"/>
        <v>0.12725772735334312</v>
      </c>
      <c r="L12" s="317">
        <f t="shared" si="3"/>
        <v>0.10509628213072592</v>
      </c>
    </row>
    <row r="13" spans="2:12" ht="15.75" thickTop="1" x14ac:dyDescent="0.25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2:K40"/>
  <sheetViews>
    <sheetView topLeftCell="A25" zoomScale="120" zoomScaleNormal="120" workbookViewId="0">
      <selection activeCell="C25" sqref="C25"/>
    </sheetView>
  </sheetViews>
  <sheetFormatPr defaultRowHeight="15" x14ac:dyDescent="0.25"/>
  <cols>
    <col min="2" max="2" width="28.5703125" customWidth="1"/>
    <col min="3" max="12" width="13" customWidth="1"/>
  </cols>
  <sheetData>
    <row r="2" spans="2:11" ht="15.75" thickBot="1" x14ac:dyDescent="0.3"/>
    <row r="3" spans="2:11" x14ac:dyDescent="0.25">
      <c r="B3" s="268" t="s">
        <v>480</v>
      </c>
      <c r="C3" s="339"/>
      <c r="D3" s="339"/>
      <c r="E3" s="339"/>
      <c r="F3" s="339"/>
      <c r="G3" s="339"/>
      <c r="H3" s="339"/>
      <c r="I3" s="339"/>
      <c r="J3" s="339"/>
      <c r="K3" s="340"/>
    </row>
    <row r="4" spans="2:11" ht="15.75" thickBot="1" x14ac:dyDescent="0.3">
      <c r="B4" s="271" t="s">
        <v>389</v>
      </c>
      <c r="C4" s="341"/>
      <c r="D4" s="341"/>
      <c r="E4" s="341"/>
      <c r="F4" s="341"/>
      <c r="G4" s="341"/>
      <c r="H4" s="341"/>
      <c r="I4" s="341"/>
      <c r="J4" s="341"/>
      <c r="K4" s="342"/>
    </row>
    <row r="5" spans="2:11" ht="15.75" thickBot="1" x14ac:dyDescent="0.3"/>
    <row r="6" spans="2:11" x14ac:dyDescent="0.25">
      <c r="B6" s="274" t="s">
        <v>108</v>
      </c>
      <c r="C6" s="324">
        <v>45016</v>
      </c>
      <c r="D6" s="324">
        <f>DATE(YEAR(C6)+1,MONTH(C6),DAY((C6)))</f>
        <v>45382</v>
      </c>
      <c r="E6" s="324">
        <f t="shared" ref="E6:K6" si="0">DATE(YEAR(D6)+1,MONTH(D6),DAY((D6)))</f>
        <v>45747</v>
      </c>
      <c r="F6" s="324">
        <f t="shared" si="0"/>
        <v>46112</v>
      </c>
      <c r="G6" s="324">
        <f t="shared" si="0"/>
        <v>46477</v>
      </c>
      <c r="H6" s="324">
        <f t="shared" si="0"/>
        <v>46843</v>
      </c>
      <c r="I6" s="324">
        <f t="shared" si="0"/>
        <v>47208</v>
      </c>
      <c r="J6" s="324">
        <f t="shared" si="0"/>
        <v>47573</v>
      </c>
      <c r="K6" s="325">
        <f t="shared" si="0"/>
        <v>47938</v>
      </c>
    </row>
    <row r="7" spans="2:11" x14ac:dyDescent="0.25">
      <c r="B7" s="326" t="s">
        <v>388</v>
      </c>
      <c r="C7" s="327"/>
      <c r="D7" s="327"/>
      <c r="E7" s="327"/>
      <c r="F7" s="327"/>
      <c r="G7" s="327"/>
      <c r="H7" s="327"/>
      <c r="I7" s="327"/>
      <c r="J7" s="327"/>
      <c r="K7" s="328"/>
    </row>
    <row r="8" spans="2:11" x14ac:dyDescent="0.25">
      <c r="B8" s="329" t="s">
        <v>481</v>
      </c>
      <c r="C8" s="327"/>
      <c r="D8" s="330">
        <f>+C10</f>
        <v>8</v>
      </c>
      <c r="E8" s="330">
        <f t="shared" ref="E8:K8" si="1">+D10</f>
        <v>8</v>
      </c>
      <c r="F8" s="330">
        <f t="shared" si="1"/>
        <v>8</v>
      </c>
      <c r="G8" s="330">
        <f t="shared" si="1"/>
        <v>8</v>
      </c>
      <c r="H8" s="330">
        <f t="shared" si="1"/>
        <v>8</v>
      </c>
      <c r="I8" s="330">
        <f t="shared" si="1"/>
        <v>8</v>
      </c>
      <c r="J8" s="330">
        <f t="shared" si="1"/>
        <v>8</v>
      </c>
      <c r="K8" s="331">
        <f t="shared" si="1"/>
        <v>8</v>
      </c>
    </row>
    <row r="9" spans="2:11" x14ac:dyDescent="0.25">
      <c r="B9" s="329" t="s">
        <v>482</v>
      </c>
      <c r="C9" s="330">
        <f>+'Cost &amp; Means'!F6</f>
        <v>8</v>
      </c>
      <c r="D9" s="330">
        <v>0</v>
      </c>
      <c r="E9" s="330">
        <v>0</v>
      </c>
      <c r="F9" s="330">
        <v>0</v>
      </c>
      <c r="G9" s="330">
        <v>0</v>
      </c>
      <c r="H9" s="330">
        <v>0</v>
      </c>
      <c r="I9" s="330">
        <v>0</v>
      </c>
      <c r="J9" s="330">
        <v>0</v>
      </c>
      <c r="K9" s="331">
        <v>0</v>
      </c>
    </row>
    <row r="10" spans="2:11" ht="15.75" thickBot="1" x14ac:dyDescent="0.3">
      <c r="B10" s="332" t="s">
        <v>483</v>
      </c>
      <c r="C10" s="323">
        <f>C8+C9</f>
        <v>8</v>
      </c>
      <c r="D10" s="323">
        <f>D8+D9</f>
        <v>8</v>
      </c>
      <c r="E10" s="323">
        <f t="shared" ref="E10:K10" si="2">E8+E9</f>
        <v>8</v>
      </c>
      <c r="F10" s="323">
        <f t="shared" si="2"/>
        <v>8</v>
      </c>
      <c r="G10" s="323">
        <f t="shared" si="2"/>
        <v>8</v>
      </c>
      <c r="H10" s="323">
        <f t="shared" si="2"/>
        <v>8</v>
      </c>
      <c r="I10" s="323">
        <f t="shared" si="2"/>
        <v>8</v>
      </c>
      <c r="J10" s="323">
        <f t="shared" si="2"/>
        <v>8</v>
      </c>
      <c r="K10" s="333">
        <f t="shared" si="2"/>
        <v>8</v>
      </c>
    </row>
    <row r="11" spans="2:11" ht="15.75" thickTop="1" x14ac:dyDescent="0.25">
      <c r="B11" s="329"/>
      <c r="C11" s="327"/>
      <c r="D11" s="327"/>
      <c r="E11" s="327"/>
      <c r="F11" s="327"/>
      <c r="G11" s="327"/>
      <c r="H11" s="327"/>
      <c r="I11" s="327"/>
      <c r="J11" s="327"/>
      <c r="K11" s="328"/>
    </row>
    <row r="12" spans="2:11" x14ac:dyDescent="0.25">
      <c r="B12" s="326" t="s">
        <v>390</v>
      </c>
      <c r="C12" s="327"/>
      <c r="D12" s="327"/>
      <c r="E12" s="327"/>
      <c r="F12" s="327"/>
      <c r="G12" s="327"/>
      <c r="H12" s="327"/>
      <c r="I12" s="327"/>
      <c r="J12" s="327"/>
      <c r="K12" s="328"/>
    </row>
    <row r="13" spans="2:11" x14ac:dyDescent="0.25">
      <c r="B13" s="329" t="s">
        <v>481</v>
      </c>
      <c r="C13" s="327"/>
      <c r="D13" s="330">
        <f>+C17</f>
        <v>10.198804996711049</v>
      </c>
      <c r="E13" s="330">
        <f t="shared" ref="E13:K13" si="3">+D17</f>
        <v>9.2299185220234996</v>
      </c>
      <c r="F13" s="330">
        <f t="shared" si="3"/>
        <v>8.3530762624312676</v>
      </c>
      <c r="G13" s="330">
        <f t="shared" si="3"/>
        <v>7.5595340175002974</v>
      </c>
      <c r="H13" s="330">
        <f t="shared" si="3"/>
        <v>6.8413782858377692</v>
      </c>
      <c r="I13" s="330">
        <f t="shared" si="3"/>
        <v>6.1914473486831811</v>
      </c>
      <c r="J13" s="330">
        <f t="shared" si="3"/>
        <v>5.6032598505582794</v>
      </c>
      <c r="K13" s="331">
        <f t="shared" si="3"/>
        <v>5.0709501647552431</v>
      </c>
    </row>
    <row r="14" spans="2:11" x14ac:dyDescent="0.25">
      <c r="B14" s="329" t="s">
        <v>482</v>
      </c>
      <c r="C14" s="330">
        <f>+'Cost &amp; Means'!F7</f>
        <v>11.269397786421049</v>
      </c>
      <c r="D14" s="327"/>
      <c r="E14" s="327"/>
      <c r="F14" s="327"/>
      <c r="G14" s="327"/>
      <c r="H14" s="327"/>
      <c r="I14" s="327"/>
      <c r="J14" s="327"/>
      <c r="K14" s="328"/>
    </row>
    <row r="15" spans="2:11" x14ac:dyDescent="0.25">
      <c r="B15" s="329" t="s">
        <v>485</v>
      </c>
      <c r="C15" s="334">
        <f>+Inputs!D49</f>
        <v>9.5000000000000001E-2</v>
      </c>
      <c r="D15" s="334">
        <f>C15</f>
        <v>9.5000000000000001E-2</v>
      </c>
      <c r="E15" s="334">
        <f t="shared" ref="E15:K15" si="4">D15</f>
        <v>9.5000000000000001E-2</v>
      </c>
      <c r="F15" s="334">
        <f t="shared" si="4"/>
        <v>9.5000000000000001E-2</v>
      </c>
      <c r="G15" s="334">
        <f t="shared" si="4"/>
        <v>9.5000000000000001E-2</v>
      </c>
      <c r="H15" s="334">
        <f t="shared" si="4"/>
        <v>9.5000000000000001E-2</v>
      </c>
      <c r="I15" s="334">
        <f t="shared" si="4"/>
        <v>9.5000000000000001E-2</v>
      </c>
      <c r="J15" s="334">
        <f t="shared" si="4"/>
        <v>9.5000000000000001E-2</v>
      </c>
      <c r="K15" s="335">
        <f t="shared" si="4"/>
        <v>9.5000000000000001E-2</v>
      </c>
    </row>
    <row r="16" spans="2:11" x14ac:dyDescent="0.25">
      <c r="B16" s="329" t="s">
        <v>214</v>
      </c>
      <c r="C16" s="330">
        <f>(C13*C15)+(C14*C15)</f>
        <v>1.0705927897099996</v>
      </c>
      <c r="D16" s="330">
        <f>(D13*D15)+(D14*D15)</f>
        <v>0.96888647468754963</v>
      </c>
      <c r="E16" s="330">
        <f t="shared" ref="E16:K16" si="5">(E13*E15)+(E14*E15)</f>
        <v>0.8768422595922325</v>
      </c>
      <c r="F16" s="330">
        <f t="shared" si="5"/>
        <v>0.79354224493097048</v>
      </c>
      <c r="G16" s="330">
        <f t="shared" si="5"/>
        <v>0.71815573166252822</v>
      </c>
      <c r="H16" s="330">
        <f t="shared" si="5"/>
        <v>0.64993093715458805</v>
      </c>
      <c r="I16" s="330">
        <f t="shared" si="5"/>
        <v>0.58818749812490223</v>
      </c>
      <c r="J16" s="330">
        <f t="shared" si="5"/>
        <v>0.5323096858030365</v>
      </c>
      <c r="K16" s="331">
        <f t="shared" si="5"/>
        <v>0.4817402656517481</v>
      </c>
    </row>
    <row r="17" spans="2:11" ht="15.75" thickBot="1" x14ac:dyDescent="0.3">
      <c r="B17" s="332" t="s">
        <v>483</v>
      </c>
      <c r="C17" s="323">
        <f>C13+C14-C16</f>
        <v>10.198804996711049</v>
      </c>
      <c r="D17" s="323">
        <f>D13+D14-D16</f>
        <v>9.2299185220234996</v>
      </c>
      <c r="E17" s="323">
        <f t="shared" ref="E17:K17" si="6">E13+E14-E16</f>
        <v>8.3530762624312676</v>
      </c>
      <c r="F17" s="323">
        <f t="shared" si="6"/>
        <v>7.5595340175002974</v>
      </c>
      <c r="G17" s="323">
        <f t="shared" si="6"/>
        <v>6.8413782858377692</v>
      </c>
      <c r="H17" s="323">
        <f t="shared" si="6"/>
        <v>6.1914473486831811</v>
      </c>
      <c r="I17" s="323">
        <f t="shared" si="6"/>
        <v>5.6032598505582794</v>
      </c>
      <c r="J17" s="323">
        <f t="shared" si="6"/>
        <v>5.0709501647552431</v>
      </c>
      <c r="K17" s="333">
        <f t="shared" si="6"/>
        <v>4.5892098991034951</v>
      </c>
    </row>
    <row r="18" spans="2:11" ht="15.75" thickTop="1" x14ac:dyDescent="0.25">
      <c r="B18" s="329"/>
      <c r="C18" s="327"/>
      <c r="D18" s="327"/>
      <c r="E18" s="327"/>
      <c r="F18" s="327"/>
      <c r="G18" s="327"/>
      <c r="H18" s="327"/>
      <c r="I18" s="327"/>
      <c r="J18" s="327"/>
      <c r="K18" s="328"/>
    </row>
    <row r="19" spans="2:11" x14ac:dyDescent="0.25">
      <c r="B19" s="326" t="s">
        <v>59</v>
      </c>
      <c r="C19" s="327"/>
      <c r="D19" s="327"/>
      <c r="E19" s="327"/>
      <c r="F19" s="327"/>
      <c r="G19" s="327"/>
      <c r="H19" s="327"/>
      <c r="I19" s="327"/>
      <c r="J19" s="327"/>
      <c r="K19" s="328"/>
    </row>
    <row r="20" spans="2:11" x14ac:dyDescent="0.25">
      <c r="B20" s="329" t="s">
        <v>481</v>
      </c>
      <c r="C20" s="327"/>
      <c r="D20" s="330">
        <f>+C24</f>
        <v>135.38178404755698</v>
      </c>
      <c r="E20" s="330">
        <f t="shared" ref="E20:K20" si="7">+D24</f>
        <v>110.87768113494917</v>
      </c>
      <c r="F20" s="330">
        <f t="shared" si="7"/>
        <v>90.808820849523372</v>
      </c>
      <c r="G20" s="330">
        <f t="shared" si="7"/>
        <v>74.372424275759641</v>
      </c>
      <c r="H20" s="330">
        <f t="shared" si="7"/>
        <v>60.911015481847144</v>
      </c>
      <c r="I20" s="330">
        <f t="shared" si="7"/>
        <v>49.886121679632808</v>
      </c>
      <c r="J20" s="330">
        <f t="shared" si="7"/>
        <v>40.856733655619266</v>
      </c>
      <c r="K20" s="331">
        <f t="shared" si="7"/>
        <v>33.46166486395218</v>
      </c>
    </row>
    <row r="21" spans="2:11" x14ac:dyDescent="0.25">
      <c r="B21" s="329" t="s">
        <v>482</v>
      </c>
      <c r="C21" s="330">
        <f>+'Cost &amp; Means'!F8</f>
        <v>165.30132362339069</v>
      </c>
      <c r="D21" s="327"/>
      <c r="E21" s="327"/>
      <c r="F21" s="327"/>
      <c r="G21" s="327"/>
      <c r="H21" s="327"/>
      <c r="I21" s="327"/>
      <c r="J21" s="327"/>
      <c r="K21" s="328"/>
    </row>
    <row r="22" spans="2:11" x14ac:dyDescent="0.25">
      <c r="B22" s="329" t="s">
        <v>485</v>
      </c>
      <c r="C22" s="334">
        <f>Inputs!D50</f>
        <v>0.18099999999999999</v>
      </c>
      <c r="D22" s="334">
        <f>C22</f>
        <v>0.18099999999999999</v>
      </c>
      <c r="E22" s="334">
        <f t="shared" ref="E22:K22" si="8">D22</f>
        <v>0.18099999999999999</v>
      </c>
      <c r="F22" s="334">
        <f t="shared" si="8"/>
        <v>0.18099999999999999</v>
      </c>
      <c r="G22" s="334">
        <f t="shared" si="8"/>
        <v>0.18099999999999999</v>
      </c>
      <c r="H22" s="334">
        <f t="shared" si="8"/>
        <v>0.18099999999999999</v>
      </c>
      <c r="I22" s="334">
        <f t="shared" si="8"/>
        <v>0.18099999999999999</v>
      </c>
      <c r="J22" s="334">
        <f t="shared" si="8"/>
        <v>0.18099999999999999</v>
      </c>
      <c r="K22" s="335">
        <f t="shared" si="8"/>
        <v>0.18099999999999999</v>
      </c>
    </row>
    <row r="23" spans="2:11" x14ac:dyDescent="0.25">
      <c r="B23" s="329" t="s">
        <v>214</v>
      </c>
      <c r="C23" s="330">
        <f>(C20*C22)+(C21*C22)</f>
        <v>29.919539575833713</v>
      </c>
      <c r="D23" s="330">
        <f>(D20*D22)+(D21*D22)</f>
        <v>24.504102912607813</v>
      </c>
      <c r="E23" s="330">
        <f t="shared" ref="E23" si="9">(E20*E22)+(E21*E22)</f>
        <v>20.068860285425799</v>
      </c>
      <c r="F23" s="330">
        <f t="shared" ref="F23" si="10">(F20*F22)+(F21*F22)</f>
        <v>16.43639657376373</v>
      </c>
      <c r="G23" s="330">
        <f t="shared" ref="G23" si="11">(G20*G22)+(G21*G22)</f>
        <v>13.461408793912495</v>
      </c>
      <c r="H23" s="330">
        <f t="shared" ref="H23" si="12">(H20*H22)+(H21*H22)</f>
        <v>11.024893802214333</v>
      </c>
      <c r="I23" s="330">
        <f t="shared" ref="I23" si="13">(I20*I22)+(I21*I22)</f>
        <v>9.0293880240135387</v>
      </c>
      <c r="J23" s="330">
        <f t="shared" ref="J23" si="14">(J20*J22)+(J21*J22)</f>
        <v>7.3950687916670867</v>
      </c>
      <c r="K23" s="331">
        <f t="shared" ref="K23" si="15">(K20*K22)+(K21*K22)</f>
        <v>6.0565613403753442</v>
      </c>
    </row>
    <row r="24" spans="2:11" ht="15.75" thickBot="1" x14ac:dyDescent="0.3">
      <c r="B24" s="332" t="s">
        <v>483</v>
      </c>
      <c r="C24" s="323">
        <f>C20+C21-C23</f>
        <v>135.38178404755698</v>
      </c>
      <c r="D24" s="323">
        <f>D20+D21-D23</f>
        <v>110.87768113494917</v>
      </c>
      <c r="E24" s="323">
        <f t="shared" ref="E24" si="16">E20+E21-E23</f>
        <v>90.808820849523372</v>
      </c>
      <c r="F24" s="323">
        <f t="shared" ref="F24" si="17">F20+F21-F23</f>
        <v>74.372424275759641</v>
      </c>
      <c r="G24" s="323">
        <f t="shared" ref="G24" si="18">G20+G21-G23</f>
        <v>60.911015481847144</v>
      </c>
      <c r="H24" s="323">
        <f t="shared" ref="H24" si="19">H20+H21-H23</f>
        <v>49.886121679632808</v>
      </c>
      <c r="I24" s="323">
        <f t="shared" ref="I24" si="20">I20+I21-I23</f>
        <v>40.856733655619266</v>
      </c>
      <c r="J24" s="323">
        <f t="shared" ref="J24" si="21">J20+J21-J23</f>
        <v>33.46166486395218</v>
      </c>
      <c r="K24" s="333">
        <f t="shared" ref="K24" si="22">K20+K21-K23</f>
        <v>27.405103523576834</v>
      </c>
    </row>
    <row r="25" spans="2:11" ht="15.75" thickTop="1" x14ac:dyDescent="0.25">
      <c r="B25" s="329"/>
      <c r="C25" s="327"/>
      <c r="D25" s="327"/>
      <c r="E25" s="327"/>
      <c r="F25" s="327"/>
      <c r="G25" s="327"/>
      <c r="H25" s="327"/>
      <c r="I25" s="327"/>
      <c r="J25" s="327"/>
      <c r="K25" s="328"/>
    </row>
    <row r="26" spans="2:11" x14ac:dyDescent="0.25">
      <c r="B26" s="326" t="s">
        <v>392</v>
      </c>
      <c r="C26" s="327"/>
      <c r="D26" s="327"/>
      <c r="E26" s="327"/>
      <c r="F26" s="327"/>
      <c r="G26" s="327"/>
      <c r="H26" s="327"/>
      <c r="I26" s="327"/>
      <c r="J26" s="327"/>
      <c r="K26" s="328"/>
    </row>
    <row r="27" spans="2:11" x14ac:dyDescent="0.25">
      <c r="B27" s="329" t="s">
        <v>481</v>
      </c>
      <c r="C27" s="327"/>
      <c r="D27" s="330">
        <f>+C31</f>
        <v>0.41101135332266925</v>
      </c>
      <c r="E27" s="330">
        <f t="shared" ref="E27:K27" si="23">+D31</f>
        <v>0.30460051394743015</v>
      </c>
      <c r="F27" s="330">
        <f t="shared" si="23"/>
        <v>0.22573944088644049</v>
      </c>
      <c r="G27" s="330">
        <f t="shared" si="23"/>
        <v>0.16729549964094104</v>
      </c>
      <c r="H27" s="330">
        <f t="shared" si="23"/>
        <v>0.12398269478390139</v>
      </c>
      <c r="I27" s="330">
        <f t="shared" si="23"/>
        <v>9.188357510434933E-2</v>
      </c>
      <c r="J27" s="330">
        <f t="shared" si="23"/>
        <v>6.8094917509833292E-2</v>
      </c>
      <c r="K27" s="331">
        <f t="shared" si="23"/>
        <v>5.046514336653745E-2</v>
      </c>
    </row>
    <row r="28" spans="2:11" x14ac:dyDescent="0.25">
      <c r="B28" s="329" t="s">
        <v>482</v>
      </c>
      <c r="C28" s="330">
        <f>+'Cost &amp; Means'!F9</f>
        <v>0.55459634775694133</v>
      </c>
      <c r="D28" s="327"/>
      <c r="E28" s="327"/>
      <c r="F28" s="327"/>
      <c r="G28" s="327"/>
      <c r="H28" s="327"/>
      <c r="I28" s="327"/>
      <c r="J28" s="327"/>
      <c r="K28" s="328"/>
    </row>
    <row r="29" spans="2:11" x14ac:dyDescent="0.25">
      <c r="B29" s="329" t="s">
        <v>485</v>
      </c>
      <c r="C29" s="334">
        <f>+Inputs!D51</f>
        <v>0.25890000000000002</v>
      </c>
      <c r="D29" s="334">
        <f>C29</f>
        <v>0.25890000000000002</v>
      </c>
      <c r="E29" s="334">
        <f t="shared" ref="E29:K29" si="24">D29</f>
        <v>0.25890000000000002</v>
      </c>
      <c r="F29" s="334">
        <f t="shared" si="24"/>
        <v>0.25890000000000002</v>
      </c>
      <c r="G29" s="334">
        <f t="shared" si="24"/>
        <v>0.25890000000000002</v>
      </c>
      <c r="H29" s="334">
        <f t="shared" si="24"/>
        <v>0.25890000000000002</v>
      </c>
      <c r="I29" s="334">
        <f t="shared" si="24"/>
        <v>0.25890000000000002</v>
      </c>
      <c r="J29" s="334">
        <f t="shared" si="24"/>
        <v>0.25890000000000002</v>
      </c>
      <c r="K29" s="335">
        <f t="shared" si="24"/>
        <v>0.25890000000000002</v>
      </c>
    </row>
    <row r="30" spans="2:11" x14ac:dyDescent="0.25">
      <c r="B30" s="329" t="s">
        <v>214</v>
      </c>
      <c r="C30" s="330">
        <f>(C27*C29)+(C28*C29)</f>
        <v>0.14358499443427211</v>
      </c>
      <c r="D30" s="330">
        <f>(D27*D29)+(D28*D29)</f>
        <v>0.10641083937523908</v>
      </c>
      <c r="E30" s="330">
        <f t="shared" ref="E30" si="25">(E27*E29)+(E28*E29)</f>
        <v>7.8861073060989675E-2</v>
      </c>
      <c r="F30" s="330">
        <f t="shared" ref="F30" si="26">(F27*F29)+(F28*F29)</f>
        <v>5.8443941245499446E-2</v>
      </c>
      <c r="G30" s="330">
        <f t="shared" ref="G30" si="27">(G27*G29)+(G28*G29)</f>
        <v>4.3312804857039637E-2</v>
      </c>
      <c r="H30" s="330">
        <f t="shared" ref="H30" si="28">(H27*H29)+(H28*H29)</f>
        <v>3.209911967955207E-2</v>
      </c>
      <c r="I30" s="330">
        <f t="shared" ref="I30" si="29">(I27*I29)+(I28*I29)</f>
        <v>2.3788657594516042E-2</v>
      </c>
      <c r="J30" s="330">
        <f t="shared" ref="J30" si="30">(J27*J29)+(J28*J29)</f>
        <v>1.7629774143295841E-2</v>
      </c>
      <c r="K30" s="331">
        <f t="shared" ref="K30" si="31">(K27*K29)+(K28*K29)</f>
        <v>1.3065425617596547E-2</v>
      </c>
    </row>
    <row r="31" spans="2:11" ht="15.75" thickBot="1" x14ac:dyDescent="0.3">
      <c r="B31" s="332" t="s">
        <v>483</v>
      </c>
      <c r="C31" s="323">
        <f>C27+C28-C30</f>
        <v>0.41101135332266925</v>
      </c>
      <c r="D31" s="323">
        <f>D27+D28-D30</f>
        <v>0.30460051394743015</v>
      </c>
      <c r="E31" s="323">
        <f t="shared" ref="E31" si="32">E27+E28-E30</f>
        <v>0.22573944088644049</v>
      </c>
      <c r="F31" s="323">
        <f t="shared" ref="F31" si="33">F27+F28-F30</f>
        <v>0.16729549964094104</v>
      </c>
      <c r="G31" s="323">
        <f t="shared" ref="G31" si="34">G27+G28-G30</f>
        <v>0.12398269478390139</v>
      </c>
      <c r="H31" s="323">
        <f t="shared" ref="H31" si="35">H27+H28-H30</f>
        <v>9.188357510434933E-2</v>
      </c>
      <c r="I31" s="323">
        <f t="shared" ref="I31" si="36">I27+I28-I30</f>
        <v>6.8094917509833292E-2</v>
      </c>
      <c r="J31" s="323">
        <f t="shared" ref="J31" si="37">J27+J28-J30</f>
        <v>5.046514336653745E-2</v>
      </c>
      <c r="K31" s="333">
        <f t="shared" ref="K31" si="38">K27+K28-K30</f>
        <v>3.7399717748940901E-2</v>
      </c>
    </row>
    <row r="32" spans="2:11" ht="15.75" thickTop="1" x14ac:dyDescent="0.25">
      <c r="B32" s="329"/>
      <c r="C32" s="327"/>
      <c r="D32" s="327"/>
      <c r="E32" s="327"/>
      <c r="F32" s="327"/>
      <c r="G32" s="327"/>
      <c r="H32" s="327"/>
      <c r="I32" s="327"/>
      <c r="J32" s="327"/>
      <c r="K32" s="328"/>
    </row>
    <row r="33" spans="2:11" ht="15.75" thickBot="1" x14ac:dyDescent="0.3">
      <c r="B33" s="336" t="s">
        <v>484</v>
      </c>
      <c r="C33" s="337">
        <f>+C16+C23+C30</f>
        <v>31.133717359977982</v>
      </c>
      <c r="D33" s="337">
        <f t="shared" ref="D33:K33" si="39">+D16+D23+D30</f>
        <v>25.579400226670604</v>
      </c>
      <c r="E33" s="337">
        <f t="shared" si="39"/>
        <v>21.024563618079021</v>
      </c>
      <c r="F33" s="337">
        <f t="shared" si="39"/>
        <v>17.288382759940202</v>
      </c>
      <c r="G33" s="337">
        <f t="shared" si="39"/>
        <v>14.222877330432064</v>
      </c>
      <c r="H33" s="337">
        <f t="shared" si="39"/>
        <v>11.706923859048473</v>
      </c>
      <c r="I33" s="337">
        <f t="shared" si="39"/>
        <v>9.6413641797329568</v>
      </c>
      <c r="J33" s="337">
        <f t="shared" si="39"/>
        <v>7.9450082516134186</v>
      </c>
      <c r="K33" s="338">
        <f t="shared" si="39"/>
        <v>6.5513670316446886</v>
      </c>
    </row>
    <row r="35" spans="2:11" x14ac:dyDescent="0.25">
      <c r="B35" s="388" t="s">
        <v>532</v>
      </c>
      <c r="C35">
        <f>+C8+C13+C20+C27</f>
        <v>0</v>
      </c>
      <c r="D35" s="248">
        <f t="shared" ref="D35:K35" si="40">C37</f>
        <v>185.12531775756867</v>
      </c>
      <c r="E35" s="248">
        <f t="shared" si="40"/>
        <v>185.12531775756867</v>
      </c>
      <c r="F35" s="248">
        <f t="shared" si="40"/>
        <v>185.12531775756867</v>
      </c>
      <c r="G35" s="248">
        <f t="shared" si="40"/>
        <v>185.12531775756867</v>
      </c>
      <c r="H35" s="248">
        <f t="shared" si="40"/>
        <v>185.12531775756867</v>
      </c>
      <c r="I35" s="248">
        <f t="shared" si="40"/>
        <v>185.12531775756867</v>
      </c>
      <c r="J35" s="248">
        <f t="shared" si="40"/>
        <v>185.12531775756867</v>
      </c>
      <c r="K35" s="248">
        <f t="shared" si="40"/>
        <v>185.12531775756867</v>
      </c>
    </row>
    <row r="36" spans="2:11" x14ac:dyDescent="0.25">
      <c r="B36" t="s">
        <v>530</v>
      </c>
      <c r="C36" s="248">
        <f>+C9+C14+C21+C28</f>
        <v>185.12531775756867</v>
      </c>
      <c r="D36" s="248">
        <f t="shared" ref="D36:K36" si="41">+D9+D14+D21+D28</f>
        <v>0</v>
      </c>
      <c r="E36" s="248">
        <f t="shared" si="41"/>
        <v>0</v>
      </c>
      <c r="F36" s="248">
        <f t="shared" si="41"/>
        <v>0</v>
      </c>
      <c r="G36" s="248">
        <f t="shared" si="41"/>
        <v>0</v>
      </c>
      <c r="H36" s="248">
        <f t="shared" si="41"/>
        <v>0</v>
      </c>
      <c r="I36" s="248">
        <f t="shared" si="41"/>
        <v>0</v>
      </c>
      <c r="J36" s="248">
        <f t="shared" si="41"/>
        <v>0</v>
      </c>
      <c r="K36" s="248">
        <f t="shared" si="41"/>
        <v>0</v>
      </c>
    </row>
    <row r="37" spans="2:11" x14ac:dyDescent="0.25">
      <c r="B37" s="388" t="s">
        <v>531</v>
      </c>
      <c r="C37" s="248">
        <f>C35+C36</f>
        <v>185.12531775756867</v>
      </c>
      <c r="D37" s="248">
        <f t="shared" ref="D37:K37" si="42">D35+D36</f>
        <v>185.12531775756867</v>
      </c>
      <c r="E37" s="248">
        <f t="shared" si="42"/>
        <v>185.12531775756867</v>
      </c>
      <c r="F37" s="248">
        <f t="shared" si="42"/>
        <v>185.12531775756867</v>
      </c>
      <c r="G37" s="248">
        <f t="shared" si="42"/>
        <v>185.12531775756867</v>
      </c>
      <c r="H37" s="248">
        <f t="shared" si="42"/>
        <v>185.12531775756867</v>
      </c>
      <c r="I37" s="248">
        <f t="shared" si="42"/>
        <v>185.12531775756867</v>
      </c>
      <c r="J37" s="248">
        <f t="shared" si="42"/>
        <v>185.12531775756867</v>
      </c>
      <c r="K37" s="248">
        <f t="shared" si="42"/>
        <v>185.12531775756867</v>
      </c>
    </row>
    <row r="38" spans="2:11" x14ac:dyDescent="0.25">
      <c r="C38" s="248"/>
      <c r="D38" s="248"/>
      <c r="E38" s="248"/>
      <c r="F38" s="248"/>
      <c r="G38" s="248"/>
      <c r="H38" s="248"/>
      <c r="I38" s="248"/>
      <c r="J38" s="248"/>
      <c r="K38" s="248"/>
    </row>
    <row r="39" spans="2:11" x14ac:dyDescent="0.25">
      <c r="B39" s="388" t="s">
        <v>533</v>
      </c>
      <c r="C39" s="248">
        <f>C33</f>
        <v>31.133717359977982</v>
      </c>
      <c r="D39" s="248">
        <f>+C39+D33</f>
        <v>56.713117586648586</v>
      </c>
      <c r="E39" s="248">
        <f t="shared" ref="E39:K39" si="43">+D39+E33</f>
        <v>77.737681204727608</v>
      </c>
      <c r="F39" s="248">
        <f t="shared" si="43"/>
        <v>95.026063964667813</v>
      </c>
      <c r="G39" s="248">
        <f t="shared" si="43"/>
        <v>109.24894129509988</v>
      </c>
      <c r="H39" s="248">
        <f t="shared" si="43"/>
        <v>120.95586515414836</v>
      </c>
      <c r="I39" s="248">
        <f t="shared" si="43"/>
        <v>130.5972293338813</v>
      </c>
      <c r="J39" s="248">
        <f t="shared" si="43"/>
        <v>138.54223758549472</v>
      </c>
      <c r="K39" s="248">
        <f t="shared" si="43"/>
        <v>145.09360461713942</v>
      </c>
    </row>
    <row r="40" spans="2:11" x14ac:dyDescent="0.25">
      <c r="C40" s="248"/>
      <c r="D40" s="248"/>
      <c r="E40" s="248"/>
      <c r="F40" s="248"/>
      <c r="G40" s="248"/>
      <c r="H40" s="248"/>
      <c r="I40" s="248"/>
      <c r="J40" s="248"/>
      <c r="K40" s="24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2:L39"/>
  <sheetViews>
    <sheetView topLeftCell="A19" zoomScale="126" zoomScaleNormal="126" workbookViewId="0">
      <selection activeCell="G35" sqref="G35"/>
    </sheetView>
  </sheetViews>
  <sheetFormatPr defaultRowHeight="15" x14ac:dyDescent="0.25"/>
  <cols>
    <col min="2" max="2" width="21.85546875" customWidth="1"/>
    <col min="3" max="3" width="13" customWidth="1"/>
    <col min="4" max="12" width="12.42578125" customWidth="1"/>
  </cols>
  <sheetData>
    <row r="2" spans="2:12" ht="15.75" thickBot="1" x14ac:dyDescent="0.3"/>
    <row r="3" spans="2:12" x14ac:dyDescent="0.25">
      <c r="B3" s="268" t="s">
        <v>486</v>
      </c>
      <c r="C3" s="360"/>
      <c r="D3" s="339"/>
      <c r="E3" s="339"/>
      <c r="F3" s="339"/>
      <c r="G3" s="339"/>
      <c r="H3" s="339"/>
      <c r="I3" s="339"/>
      <c r="J3" s="339"/>
      <c r="K3" s="339"/>
      <c r="L3" s="340"/>
    </row>
    <row r="4" spans="2:12" ht="15.75" thickBot="1" x14ac:dyDescent="0.3">
      <c r="B4" s="271" t="s">
        <v>389</v>
      </c>
      <c r="C4" s="361"/>
      <c r="D4" s="341"/>
      <c r="E4" s="341"/>
      <c r="F4" s="341"/>
      <c r="G4" s="341"/>
      <c r="H4" s="341"/>
      <c r="I4" s="341"/>
      <c r="J4" s="341"/>
      <c r="K4" s="341"/>
      <c r="L4" s="342"/>
    </row>
    <row r="5" spans="2:12" ht="15.75" thickBot="1" x14ac:dyDescent="0.3"/>
    <row r="6" spans="2:12" x14ac:dyDescent="0.25">
      <c r="B6" s="274" t="s">
        <v>108</v>
      </c>
      <c r="C6" s="371"/>
      <c r="D6" s="324">
        <v>45016</v>
      </c>
      <c r="E6" s="324">
        <f>DATE(YEAR(D6)+1,MONTH(D6),DAY((D6)))</f>
        <v>45382</v>
      </c>
      <c r="F6" s="324">
        <f t="shared" ref="F6:L6" si="0">DATE(YEAR(E6)+1,MONTH(E6),DAY((E6)))</f>
        <v>45747</v>
      </c>
      <c r="G6" s="324">
        <f t="shared" si="0"/>
        <v>46112</v>
      </c>
      <c r="H6" s="324">
        <f t="shared" si="0"/>
        <v>46477</v>
      </c>
      <c r="I6" s="324">
        <f t="shared" si="0"/>
        <v>46843</v>
      </c>
      <c r="J6" s="324">
        <f t="shared" si="0"/>
        <v>47208</v>
      </c>
      <c r="K6" s="324">
        <f t="shared" si="0"/>
        <v>47573</v>
      </c>
      <c r="L6" s="325">
        <f t="shared" si="0"/>
        <v>47938</v>
      </c>
    </row>
    <row r="7" spans="2:12" x14ac:dyDescent="0.25">
      <c r="B7" s="326" t="s">
        <v>471</v>
      </c>
      <c r="C7" s="372"/>
      <c r="D7" s="345">
        <v>12</v>
      </c>
      <c r="E7" s="345">
        <f>D7</f>
        <v>12</v>
      </c>
      <c r="F7" s="345">
        <f t="shared" ref="F7:L7" si="1">E7</f>
        <v>12</v>
      </c>
      <c r="G7" s="345">
        <f t="shared" si="1"/>
        <v>12</v>
      </c>
      <c r="H7" s="345">
        <f t="shared" si="1"/>
        <v>12</v>
      </c>
      <c r="I7" s="345">
        <f t="shared" si="1"/>
        <v>12</v>
      </c>
      <c r="J7" s="345">
        <f t="shared" si="1"/>
        <v>12</v>
      </c>
      <c r="K7" s="345">
        <f t="shared" si="1"/>
        <v>12</v>
      </c>
      <c r="L7" s="347">
        <f t="shared" si="1"/>
        <v>12</v>
      </c>
    </row>
    <row r="8" spans="2:12" x14ac:dyDescent="0.25">
      <c r="B8" s="329"/>
      <c r="C8" s="355"/>
      <c r="D8" s="355"/>
      <c r="E8" s="355"/>
      <c r="F8" s="355"/>
      <c r="G8" s="355"/>
      <c r="H8" s="355"/>
      <c r="I8" s="355"/>
      <c r="J8" s="355"/>
      <c r="K8" s="355"/>
      <c r="L8" s="356"/>
    </row>
    <row r="9" spans="2:12" x14ac:dyDescent="0.25">
      <c r="B9" s="329" t="s">
        <v>487</v>
      </c>
      <c r="C9" s="355"/>
      <c r="D9" s="348">
        <f>-PL!F23/WC!D7*WC!D10</f>
        <v>12.64879941620879</v>
      </c>
      <c r="E9" s="348">
        <f>-PL!G23/WC!E7*WC!E10</f>
        <v>15.291252211195058</v>
      </c>
      <c r="F9" s="348">
        <f>-PL!H23/WC!F7*WC!F10</f>
        <v>17.985289182139422</v>
      </c>
      <c r="G9" s="348">
        <f>-PL!I23/WC!G7*WC!G10</f>
        <v>19.448409920621188</v>
      </c>
      <c r="H9" s="348">
        <f>-PL!J23/WC!H7*WC!H10</f>
        <v>20.938994544954376</v>
      </c>
      <c r="I9" s="348">
        <f>-PL!K23/WC!I7*WC!I10</f>
        <v>22.457446020782164</v>
      </c>
      <c r="J9" s="348">
        <f>-PL!L23/WC!J7*WC!J10</f>
        <v>24.004172626672013</v>
      </c>
      <c r="K9" s="348">
        <f>-PL!M23/WC!K7*WC!K10</f>
        <v>25.579588020077583</v>
      </c>
      <c r="L9" s="349">
        <f>-PL!N23/WC!L7*WC!L10</f>
        <v>25.835383900278362</v>
      </c>
    </row>
    <row r="10" spans="2:12" x14ac:dyDescent="0.25">
      <c r="B10" s="350" t="s">
        <v>489</v>
      </c>
      <c r="C10" s="373"/>
      <c r="D10" s="351">
        <f>-4.5/30</f>
        <v>-0.15</v>
      </c>
      <c r="E10" s="351">
        <f>D10</f>
        <v>-0.15</v>
      </c>
      <c r="F10" s="351">
        <f t="shared" ref="F10:L13" si="2">E10</f>
        <v>-0.15</v>
      </c>
      <c r="G10" s="351">
        <f t="shared" si="2"/>
        <v>-0.15</v>
      </c>
      <c r="H10" s="351">
        <f t="shared" si="2"/>
        <v>-0.15</v>
      </c>
      <c r="I10" s="351">
        <f t="shared" si="2"/>
        <v>-0.15</v>
      </c>
      <c r="J10" s="351">
        <f t="shared" si="2"/>
        <v>-0.15</v>
      </c>
      <c r="K10" s="351">
        <f t="shared" si="2"/>
        <v>-0.15</v>
      </c>
      <c r="L10" s="352">
        <f t="shared" si="2"/>
        <v>-0.15</v>
      </c>
    </row>
    <row r="11" spans="2:12" x14ac:dyDescent="0.25">
      <c r="B11" s="350"/>
      <c r="C11" s="373"/>
      <c r="D11" s="353"/>
      <c r="E11" s="353"/>
      <c r="F11" s="353"/>
      <c r="G11" s="353"/>
      <c r="H11" s="353"/>
      <c r="I11" s="353"/>
      <c r="J11" s="353"/>
      <c r="K11" s="353"/>
      <c r="L11" s="354"/>
    </row>
    <row r="12" spans="2:12" x14ac:dyDescent="0.25">
      <c r="B12" s="329" t="s">
        <v>324</v>
      </c>
      <c r="C12" s="355"/>
      <c r="D12" s="348">
        <v>17.319823718952957</v>
      </c>
      <c r="E12" s="348">
        <v>21.018677024191117</v>
      </c>
      <c r="F12" s="348">
        <v>24.579646111585987</v>
      </c>
      <c r="G12" s="348">
        <v>26.518186121043186</v>
      </c>
      <c r="H12" s="348">
        <v>28.477787813965989</v>
      </c>
      <c r="I12" s="348">
        <v>30.483808670254163</v>
      </c>
      <c r="J12" s="348">
        <v>32.535593733119065</v>
      </c>
      <c r="K12" s="348">
        <v>34.632328250952092</v>
      </c>
      <c r="L12" s="349">
        <v>34.983843064628125</v>
      </c>
    </row>
    <row r="13" spans="2:12" x14ac:dyDescent="0.25">
      <c r="B13" s="350" t="s">
        <v>489</v>
      </c>
      <c r="C13" s="373"/>
      <c r="D13" s="351">
        <f>-6/30</f>
        <v>-0.2</v>
      </c>
      <c r="E13" s="351">
        <f>D13</f>
        <v>-0.2</v>
      </c>
      <c r="F13" s="351">
        <f t="shared" si="2"/>
        <v>-0.2</v>
      </c>
      <c r="G13" s="351">
        <f t="shared" si="2"/>
        <v>-0.2</v>
      </c>
      <c r="H13" s="351">
        <f t="shared" si="2"/>
        <v>-0.2</v>
      </c>
      <c r="I13" s="351">
        <f t="shared" si="2"/>
        <v>-0.2</v>
      </c>
      <c r="J13" s="351">
        <f t="shared" si="2"/>
        <v>-0.2</v>
      </c>
      <c r="K13" s="351">
        <f t="shared" si="2"/>
        <v>-0.2</v>
      </c>
      <c r="L13" s="352">
        <f t="shared" si="2"/>
        <v>-0.2</v>
      </c>
    </row>
    <row r="14" spans="2:12" x14ac:dyDescent="0.25">
      <c r="B14" s="350"/>
      <c r="C14" s="373"/>
      <c r="D14" s="353"/>
      <c r="E14" s="353"/>
      <c r="F14" s="353"/>
      <c r="G14" s="353"/>
      <c r="H14" s="353"/>
      <c r="I14" s="353"/>
      <c r="J14" s="353"/>
      <c r="K14" s="353"/>
      <c r="L14" s="354"/>
    </row>
    <row r="15" spans="2:12" x14ac:dyDescent="0.25">
      <c r="B15" s="329" t="s">
        <v>491</v>
      </c>
      <c r="C15" s="355"/>
      <c r="D15" s="348">
        <f>-PL!F27/WC!D7*WC!D16</f>
        <v>0.2109375</v>
      </c>
      <c r="E15" s="348">
        <f>-PL!G27/WC!E7*WC!E16</f>
        <v>0.25565624999999997</v>
      </c>
      <c r="F15" s="348">
        <f>-PL!H27/WC!F7*WC!F16</f>
        <v>0.30124828124999997</v>
      </c>
      <c r="G15" s="348">
        <f>-PL!I27/WC!G7*WC!G16</f>
        <v>0.32599367578125005</v>
      </c>
      <c r="H15" s="348">
        <f>-PL!J27/WC!H7*WC!H16</f>
        <v>0.35120385337499999</v>
      </c>
      <c r="I15" s="348">
        <f>-PL!K27/WC!I7*WC!I16</f>
        <v>0.37688563515304696</v>
      </c>
      <c r="J15" s="348">
        <f>-PL!L27/WC!J7*WC!J16</f>
        <v>0.40304593218131729</v>
      </c>
      <c r="K15" s="348">
        <f>-PL!M27/WC!K7*WC!K16</f>
        <v>0.42969174658663767</v>
      </c>
      <c r="L15" s="349">
        <f>-PL!N27/WC!L7*WC!L16</f>
        <v>0.43398866405250408</v>
      </c>
    </row>
    <row r="16" spans="2:12" x14ac:dyDescent="0.25">
      <c r="B16" s="350" t="s">
        <v>489</v>
      </c>
      <c r="C16" s="373"/>
      <c r="D16" s="351">
        <f>-7.5/30</f>
        <v>-0.25</v>
      </c>
      <c r="E16" s="351">
        <f>D16</f>
        <v>-0.25</v>
      </c>
      <c r="F16" s="351">
        <f t="shared" ref="F16:L16" si="3">E16</f>
        <v>-0.25</v>
      </c>
      <c r="G16" s="351">
        <f t="shared" si="3"/>
        <v>-0.25</v>
      </c>
      <c r="H16" s="351">
        <f t="shared" si="3"/>
        <v>-0.25</v>
      </c>
      <c r="I16" s="351">
        <f t="shared" si="3"/>
        <v>-0.25</v>
      </c>
      <c r="J16" s="351">
        <f t="shared" si="3"/>
        <v>-0.25</v>
      </c>
      <c r="K16" s="351">
        <f t="shared" si="3"/>
        <v>-0.25</v>
      </c>
      <c r="L16" s="352">
        <f t="shared" si="3"/>
        <v>-0.25</v>
      </c>
    </row>
    <row r="17" spans="2:12" x14ac:dyDescent="0.25">
      <c r="B17" s="350"/>
      <c r="C17" s="373"/>
      <c r="D17" s="353"/>
      <c r="E17" s="353"/>
      <c r="F17" s="353"/>
      <c r="G17" s="353"/>
      <c r="H17" s="353"/>
      <c r="I17" s="353"/>
      <c r="J17" s="353"/>
      <c r="K17" s="353"/>
      <c r="L17" s="354"/>
    </row>
    <row r="18" spans="2:12" x14ac:dyDescent="0.25">
      <c r="B18" s="329" t="s">
        <v>488</v>
      </c>
      <c r="C18" s="355"/>
      <c r="D18" s="348">
        <f>-PL!F14/WC!D7*WC!D19</f>
        <v>43.661268780048083</v>
      </c>
      <c r="E18" s="348">
        <f>-PL!G14/WC!E7*WC!E19</f>
        <v>53.606884840745202</v>
      </c>
      <c r="F18" s="348">
        <f>-PL!H14/WC!F7*WC!F19</f>
        <v>63.241147178297759</v>
      </c>
      <c r="G18" s="348">
        <f>-PL!I14/WC!G7*WC!G19</f>
        <v>68.569953126050521</v>
      </c>
      <c r="H18" s="348">
        <f>-PL!J14/WC!H7*WC!H19</f>
        <v>73.941358889899547</v>
      </c>
      <c r="I18" s="348">
        <f>-PL!K14/WC!I7*WC!I19</f>
        <v>79.422892578782424</v>
      </c>
      <c r="J18" s="348">
        <f>-PL!L14/WC!J7*WC!J19</f>
        <v>85.016560820149479</v>
      </c>
      <c r="K18" s="348">
        <f>-PL!M14/WC!K7*WC!K19</f>
        <v>90.724403199648975</v>
      </c>
      <c r="L18" s="349">
        <f>-PL!N14/WC!L7*WC!L19</f>
        <v>91.788163506416637</v>
      </c>
    </row>
    <row r="19" spans="2:12" x14ac:dyDescent="0.25">
      <c r="B19" s="350" t="s">
        <v>490</v>
      </c>
      <c r="C19" s="373"/>
      <c r="D19" s="351">
        <f>-15/30</f>
        <v>-0.5</v>
      </c>
      <c r="E19" s="351">
        <f>D19</f>
        <v>-0.5</v>
      </c>
      <c r="F19" s="351">
        <f t="shared" ref="F19:L19" si="4">E19</f>
        <v>-0.5</v>
      </c>
      <c r="G19" s="351">
        <f t="shared" si="4"/>
        <v>-0.5</v>
      </c>
      <c r="H19" s="351">
        <f t="shared" si="4"/>
        <v>-0.5</v>
      </c>
      <c r="I19" s="351">
        <f t="shared" si="4"/>
        <v>-0.5</v>
      </c>
      <c r="J19" s="351">
        <f t="shared" si="4"/>
        <v>-0.5</v>
      </c>
      <c r="K19" s="351">
        <f t="shared" si="4"/>
        <v>-0.5</v>
      </c>
      <c r="L19" s="352">
        <f t="shared" si="4"/>
        <v>-0.5</v>
      </c>
    </row>
    <row r="20" spans="2:12" ht="15.75" thickBot="1" x14ac:dyDescent="0.3">
      <c r="B20" s="357"/>
      <c r="C20" s="358"/>
      <c r="D20" s="358"/>
      <c r="E20" s="358"/>
      <c r="F20" s="358"/>
      <c r="G20" s="358"/>
      <c r="H20" s="358"/>
      <c r="I20" s="358"/>
      <c r="J20" s="358"/>
      <c r="K20" s="358"/>
      <c r="L20" s="359"/>
    </row>
    <row r="21" spans="2:12" ht="15.75" thickBot="1" x14ac:dyDescent="0.3">
      <c r="B21" s="366" t="s">
        <v>492</v>
      </c>
      <c r="C21" s="374"/>
      <c r="D21" s="346">
        <f t="shared" ref="D21:L21" si="5">+D9+D38+D15+D18</f>
        <v>73.842506876121675</v>
      </c>
      <c r="E21" s="346">
        <f t="shared" si="5"/>
        <v>90.174062494241156</v>
      </c>
      <c r="F21" s="346">
        <f t="shared" si="5"/>
        <v>106.10845278880944</v>
      </c>
      <c r="G21" s="346">
        <f t="shared" si="5"/>
        <v>114.86352767496427</v>
      </c>
      <c r="H21" s="346">
        <f t="shared" si="5"/>
        <v>123.71014087330587</v>
      </c>
      <c r="I21" s="346">
        <f t="shared" si="5"/>
        <v>132.74169438890357</v>
      </c>
      <c r="J21" s="346">
        <f t="shared" si="5"/>
        <v>141.95991789566318</v>
      </c>
      <c r="K21" s="346">
        <f t="shared" si="5"/>
        <v>151.36646015824877</v>
      </c>
      <c r="L21" s="367">
        <f t="shared" si="5"/>
        <v>153.04175775891676</v>
      </c>
    </row>
    <row r="22" spans="2:12" ht="15.75" thickTop="1" x14ac:dyDescent="0.25">
      <c r="B22" s="329"/>
      <c r="C22" s="355"/>
      <c r="D22" s="355"/>
      <c r="E22" s="355"/>
      <c r="F22" s="355"/>
      <c r="G22" s="355"/>
      <c r="H22" s="355"/>
      <c r="I22" s="355"/>
      <c r="J22" s="355"/>
      <c r="K22" s="355"/>
      <c r="L22" s="356"/>
    </row>
    <row r="23" spans="2:12" x14ac:dyDescent="0.25">
      <c r="B23" s="368" t="s">
        <v>495</v>
      </c>
      <c r="C23" s="355"/>
      <c r="D23" s="355"/>
      <c r="E23" s="355"/>
      <c r="F23" s="355"/>
      <c r="G23" s="355"/>
      <c r="H23" s="355"/>
      <c r="I23" s="355"/>
      <c r="J23" s="355"/>
      <c r="K23" s="355"/>
      <c r="L23" s="356"/>
    </row>
    <row r="24" spans="2:12" x14ac:dyDescent="0.25">
      <c r="B24" s="329" t="s">
        <v>487</v>
      </c>
      <c r="C24" s="369">
        <v>0.25</v>
      </c>
      <c r="D24" s="348">
        <f>+D9*$C$24</f>
        <v>3.1621998540521976</v>
      </c>
      <c r="E24" s="348">
        <f t="shared" ref="E24:L24" si="6">+E9*$C$24</f>
        <v>3.8228130527987645</v>
      </c>
      <c r="F24" s="348">
        <f t="shared" si="6"/>
        <v>4.4963222955348554</v>
      </c>
      <c r="G24" s="348">
        <f t="shared" si="6"/>
        <v>4.862102480155297</v>
      </c>
      <c r="H24" s="348">
        <f t="shared" si="6"/>
        <v>5.234748636238594</v>
      </c>
      <c r="I24" s="348">
        <f t="shared" si="6"/>
        <v>5.6143615051955411</v>
      </c>
      <c r="J24" s="348">
        <f t="shared" si="6"/>
        <v>6.0010431566680031</v>
      </c>
      <c r="K24" s="348">
        <f t="shared" si="6"/>
        <v>6.3948970050193958</v>
      </c>
      <c r="L24" s="349">
        <f t="shared" si="6"/>
        <v>6.4588459750695906</v>
      </c>
    </row>
    <row r="25" spans="2:12" x14ac:dyDescent="0.25">
      <c r="B25" s="329" t="s">
        <v>324</v>
      </c>
      <c r="C25" s="369">
        <v>0.25</v>
      </c>
      <c r="D25" s="348">
        <f>+D12*$C$25</f>
        <v>4.3299559297382393</v>
      </c>
      <c r="E25" s="348">
        <f t="shared" ref="E25:L25" si="7">+E12*$C$25</f>
        <v>5.2546692560477792</v>
      </c>
      <c r="F25" s="348">
        <f t="shared" si="7"/>
        <v>6.1449115278964968</v>
      </c>
      <c r="G25" s="348">
        <f t="shared" si="7"/>
        <v>6.6295465302607965</v>
      </c>
      <c r="H25" s="348">
        <f t="shared" si="7"/>
        <v>7.1194469534914973</v>
      </c>
      <c r="I25" s="348">
        <f t="shared" si="7"/>
        <v>7.6209521675635408</v>
      </c>
      <c r="J25" s="348">
        <f t="shared" si="7"/>
        <v>8.1338984332797661</v>
      </c>
      <c r="K25" s="348">
        <f t="shared" si="7"/>
        <v>8.6580820627380231</v>
      </c>
      <c r="L25" s="348">
        <f t="shared" si="7"/>
        <v>8.7459607661570313</v>
      </c>
    </row>
    <row r="26" spans="2:12" x14ac:dyDescent="0.25">
      <c r="B26" s="329" t="s">
        <v>496</v>
      </c>
      <c r="C26" s="369">
        <v>0.25</v>
      </c>
      <c r="D26" s="348">
        <f>D15*$C$26</f>
        <v>5.2734375E-2</v>
      </c>
      <c r="E26" s="348">
        <f t="shared" ref="E26:L26" si="8">E15*$C$26</f>
        <v>6.3914062499999993E-2</v>
      </c>
      <c r="F26" s="348">
        <f t="shared" si="8"/>
        <v>7.5312070312499993E-2</v>
      </c>
      <c r="G26" s="348">
        <f t="shared" si="8"/>
        <v>8.1498418945312512E-2</v>
      </c>
      <c r="H26" s="348">
        <f t="shared" si="8"/>
        <v>8.7800963343749996E-2</v>
      </c>
      <c r="I26" s="348">
        <f t="shared" si="8"/>
        <v>9.422140878826174E-2</v>
      </c>
      <c r="J26" s="348">
        <f t="shared" si="8"/>
        <v>0.10076148304532932</v>
      </c>
      <c r="K26" s="348">
        <f t="shared" si="8"/>
        <v>0.10742293664665942</v>
      </c>
      <c r="L26" s="349">
        <f t="shared" si="8"/>
        <v>0.10849716601312602</v>
      </c>
    </row>
    <row r="27" spans="2:12" x14ac:dyDescent="0.25">
      <c r="B27" s="329" t="s">
        <v>488</v>
      </c>
      <c r="C27" s="369">
        <v>0.4</v>
      </c>
      <c r="D27" s="348">
        <f>D18*$C$27</f>
        <v>17.464507512019235</v>
      </c>
      <c r="E27" s="348">
        <f t="shared" ref="E27:L27" si="9">E18*$C$27</f>
        <v>21.442753936298082</v>
      </c>
      <c r="F27" s="348">
        <f t="shared" si="9"/>
        <v>25.296458871319103</v>
      </c>
      <c r="G27" s="348">
        <f t="shared" si="9"/>
        <v>27.42798125042021</v>
      </c>
      <c r="H27" s="348">
        <f t="shared" si="9"/>
        <v>29.57654355595982</v>
      </c>
      <c r="I27" s="348">
        <f t="shared" si="9"/>
        <v>31.769157031512972</v>
      </c>
      <c r="J27" s="348">
        <f t="shared" si="9"/>
        <v>34.006624328059793</v>
      </c>
      <c r="K27" s="348">
        <f t="shared" si="9"/>
        <v>36.28976127985959</v>
      </c>
      <c r="L27" s="349">
        <f t="shared" si="9"/>
        <v>36.715265402566658</v>
      </c>
    </row>
    <row r="28" spans="2:12" ht="15.75" thickBot="1" x14ac:dyDescent="0.3">
      <c r="B28" s="332"/>
      <c r="C28" s="316"/>
      <c r="D28" s="317">
        <f>SUM(D24:D27)</f>
        <v>25.009397670809673</v>
      </c>
      <c r="E28" s="317">
        <f t="shared" ref="E28:L28" si="10">SUM(E24:E27)</f>
        <v>30.584150307644627</v>
      </c>
      <c r="F28" s="317">
        <f t="shared" si="10"/>
        <v>36.013004765062959</v>
      </c>
      <c r="G28" s="317">
        <f t="shared" si="10"/>
        <v>39.001128679781615</v>
      </c>
      <c r="H28" s="317">
        <f t="shared" si="10"/>
        <v>42.018540109033658</v>
      </c>
      <c r="I28" s="317">
        <f t="shared" si="10"/>
        <v>45.098692113060316</v>
      </c>
      <c r="J28" s="317">
        <f t="shared" si="10"/>
        <v>48.24232740105289</v>
      </c>
      <c r="K28" s="317">
        <f t="shared" si="10"/>
        <v>51.450163284263667</v>
      </c>
      <c r="L28" s="370">
        <f t="shared" si="10"/>
        <v>52.028569309806407</v>
      </c>
    </row>
    <row r="29" spans="2:12" ht="15.75" thickTop="1" x14ac:dyDescent="0.25">
      <c r="B29" s="329"/>
      <c r="C29" s="355"/>
      <c r="D29" s="355"/>
      <c r="E29" s="355"/>
      <c r="F29" s="355"/>
      <c r="G29" s="355"/>
      <c r="H29" s="355"/>
      <c r="I29" s="355"/>
      <c r="J29" s="355"/>
      <c r="K29" s="355"/>
      <c r="L29" s="356"/>
    </row>
    <row r="30" spans="2:12" x14ac:dyDescent="0.25">
      <c r="B30" s="329" t="s">
        <v>493</v>
      </c>
      <c r="C30" s="355"/>
      <c r="D30" s="348">
        <f>-RM!D46/WC!D7*WC!D31</f>
        <v>25.6138188178228</v>
      </c>
      <c r="E30" s="348">
        <f>-RM!E46/WC!E7*WC!E31</f>
        <v>30.648565742264775</v>
      </c>
      <c r="F30" s="348">
        <f>-RM!F46/WC!F7*WC!F31</f>
        <v>36.037929288552448</v>
      </c>
      <c r="G30" s="348">
        <f>-RM!G46/WC!G7*WC!G31</f>
        <v>38.933397859704421</v>
      </c>
      <c r="H30" s="348">
        <f>-RM!H46/WC!H7*WC!H31</f>
        <v>41.915253705517088</v>
      </c>
      <c r="I30" s="348">
        <f>-RM!I46/WC!I7*WC!I31</f>
        <v>44.95285332846003</v>
      </c>
      <c r="J30" s="348">
        <f>-RM!J46/WC!J7*WC!J31</f>
        <v>48.047013418491275</v>
      </c>
      <c r="K30" s="348">
        <f>-RM!K46/WC!K7*WC!K31</f>
        <v>51.198561424990309</v>
      </c>
      <c r="L30" s="349">
        <f>-RM!L46/WC!L7*WC!L31</f>
        <v>51.677162697561748</v>
      </c>
    </row>
    <row r="31" spans="2:12" x14ac:dyDescent="0.25">
      <c r="B31" s="329" t="s">
        <v>494</v>
      </c>
      <c r="C31" s="355"/>
      <c r="D31" s="351">
        <f>-9/30</f>
        <v>-0.3</v>
      </c>
      <c r="E31" s="353">
        <f>D31</f>
        <v>-0.3</v>
      </c>
      <c r="F31" s="353">
        <f t="shared" ref="F31:L31" si="11">E31</f>
        <v>-0.3</v>
      </c>
      <c r="G31" s="353">
        <f t="shared" si="11"/>
        <v>-0.3</v>
      </c>
      <c r="H31" s="353">
        <f t="shared" si="11"/>
        <v>-0.3</v>
      </c>
      <c r="I31" s="353">
        <f t="shared" si="11"/>
        <v>-0.3</v>
      </c>
      <c r="J31" s="353">
        <f t="shared" si="11"/>
        <v>-0.3</v>
      </c>
      <c r="K31" s="353">
        <f t="shared" si="11"/>
        <v>-0.3</v>
      </c>
      <c r="L31" s="354">
        <f t="shared" si="11"/>
        <v>-0.3</v>
      </c>
    </row>
    <row r="32" spans="2:12" x14ac:dyDescent="0.25">
      <c r="B32" s="329"/>
      <c r="C32" s="355"/>
      <c r="D32" s="355"/>
      <c r="E32" s="355"/>
      <c r="F32" s="355"/>
      <c r="G32" s="355"/>
      <c r="H32" s="355"/>
      <c r="I32" s="355"/>
      <c r="J32" s="355"/>
      <c r="K32" s="355"/>
      <c r="L32" s="356"/>
    </row>
    <row r="33" spans="2:12" x14ac:dyDescent="0.25">
      <c r="B33" s="326" t="s">
        <v>500</v>
      </c>
      <c r="C33" s="372"/>
      <c r="D33" s="344">
        <f>+D21-D28-D30</f>
        <v>23.219290387489199</v>
      </c>
      <c r="E33" s="344">
        <f t="shared" ref="E33:L33" si="12">+E21-E28-E30</f>
        <v>28.941346444331753</v>
      </c>
      <c r="F33" s="344">
        <f t="shared" si="12"/>
        <v>34.057518735194037</v>
      </c>
      <c r="G33" s="344">
        <f t="shared" si="12"/>
        <v>36.929001135478238</v>
      </c>
      <c r="H33" s="344">
        <f t="shared" si="12"/>
        <v>39.776347058755121</v>
      </c>
      <c r="I33" s="344">
        <f t="shared" si="12"/>
        <v>42.690148947383229</v>
      </c>
      <c r="J33" s="344">
        <f t="shared" si="12"/>
        <v>45.670577076119017</v>
      </c>
      <c r="K33" s="344">
        <f t="shared" si="12"/>
        <v>48.717735448994794</v>
      </c>
      <c r="L33" s="375">
        <f t="shared" si="12"/>
        <v>49.336025751548597</v>
      </c>
    </row>
    <row r="34" spans="2:12" x14ac:dyDescent="0.25">
      <c r="B34" s="326" t="s">
        <v>501</v>
      </c>
      <c r="C34" s="372"/>
      <c r="D34" s="344">
        <f>ROUND(D33,0)</f>
        <v>23</v>
      </c>
      <c r="E34" s="344">
        <f t="shared" ref="E34:F34" si="13">ROUND(E33,0)</f>
        <v>29</v>
      </c>
      <c r="F34" s="344">
        <f t="shared" si="13"/>
        <v>34</v>
      </c>
      <c r="G34" s="344">
        <f>F34</f>
        <v>34</v>
      </c>
      <c r="H34" s="344">
        <f t="shared" ref="H34:L34" si="14">G34</f>
        <v>34</v>
      </c>
      <c r="I34" s="344">
        <f t="shared" si="14"/>
        <v>34</v>
      </c>
      <c r="J34" s="344">
        <f t="shared" si="14"/>
        <v>34</v>
      </c>
      <c r="K34" s="344">
        <f t="shared" si="14"/>
        <v>34</v>
      </c>
      <c r="L34" s="344">
        <f t="shared" si="14"/>
        <v>34</v>
      </c>
    </row>
    <row r="35" spans="2:12" ht="15.75" thickBot="1" x14ac:dyDescent="0.3">
      <c r="B35" s="336" t="s">
        <v>502</v>
      </c>
      <c r="C35" s="376">
        <f>+Inputs!D9</f>
        <v>0.109</v>
      </c>
      <c r="D35" s="377">
        <f>D34*$C$35*D7/12</f>
        <v>2.5070000000000001</v>
      </c>
      <c r="E35" s="377">
        <f t="shared" ref="E35:L35" si="15">E34*$C$35*E7/12</f>
        <v>3.161</v>
      </c>
      <c r="F35" s="377">
        <f t="shared" si="15"/>
        <v>3.706</v>
      </c>
      <c r="G35" s="377">
        <f t="shared" si="15"/>
        <v>3.706</v>
      </c>
      <c r="H35" s="377">
        <f t="shared" si="15"/>
        <v>3.706</v>
      </c>
      <c r="I35" s="377">
        <f t="shared" si="15"/>
        <v>3.706</v>
      </c>
      <c r="J35" s="377">
        <f t="shared" si="15"/>
        <v>3.706</v>
      </c>
      <c r="K35" s="377">
        <f t="shared" si="15"/>
        <v>3.706</v>
      </c>
      <c r="L35" s="378">
        <f t="shared" si="15"/>
        <v>3.706</v>
      </c>
    </row>
    <row r="38" spans="2:12" x14ac:dyDescent="0.25">
      <c r="B38" t="s">
        <v>504</v>
      </c>
      <c r="D38" s="364">
        <f>-PL!F39/D7*D13</f>
        <v>17.321501179864804</v>
      </c>
      <c r="E38" s="364">
        <f>-PL!G39/E7*E13</f>
        <v>21.020269192300887</v>
      </c>
      <c r="F38" s="364">
        <f>-PL!H39/F7*F13</f>
        <v>24.580768147122274</v>
      </c>
      <c r="G38" s="364">
        <f>-PL!I39/G7*G13</f>
        <v>26.51917095251131</v>
      </c>
      <c r="H38" s="364">
        <f>-PL!J39/H7*H13</f>
        <v>28.478583585076962</v>
      </c>
      <c r="I38" s="364">
        <f>-PL!K39/I7*I13</f>
        <v>30.484470154185939</v>
      </c>
      <c r="J38" s="364">
        <f>-PL!L39/J7*J13</f>
        <v>32.536138516660394</v>
      </c>
      <c r="K38" s="364">
        <f>-PL!M39/K7*K13</f>
        <v>34.632777191935567</v>
      </c>
      <c r="L38" s="364">
        <f>-PL!N39/L7*L13</f>
        <v>34.984221688169256</v>
      </c>
    </row>
    <row r="39" spans="2:12" x14ac:dyDescent="0.25">
      <c r="D39" s="365">
        <f>D38-D12</f>
        <v>1.6774609118463957E-3</v>
      </c>
      <c r="E39" s="365">
        <f t="shared" ref="E39:L39" si="16">E38-E12</f>
        <v>1.5921681097701423E-3</v>
      </c>
      <c r="F39" s="365">
        <f t="shared" si="16"/>
        <v>1.1220355362873136E-3</v>
      </c>
      <c r="G39" s="365">
        <f t="shared" si="16"/>
        <v>9.8483146812355926E-4</v>
      </c>
      <c r="H39" s="365">
        <f t="shared" si="16"/>
        <v>7.9577111097250963E-4</v>
      </c>
      <c r="I39" s="365">
        <f t="shared" si="16"/>
        <v>6.6148393177556386E-4</v>
      </c>
      <c r="J39" s="365">
        <f t="shared" si="16"/>
        <v>5.4478354132925233E-4</v>
      </c>
      <c r="K39" s="365">
        <f t="shared" si="16"/>
        <v>4.4894098347469935E-4</v>
      </c>
      <c r="L39" s="365">
        <f t="shared" si="16"/>
        <v>3.7862354113116226E-4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2:M73"/>
  <sheetViews>
    <sheetView zoomScale="115" zoomScaleNormal="115" workbookViewId="0">
      <pane xSplit="2" ySplit="7" topLeftCell="C59" activePane="bottomRight" state="frozen"/>
      <selection activeCell="I29" sqref="I29"/>
      <selection pane="topRight" activeCell="I29" sqref="I29"/>
      <selection pane="bottomLeft" activeCell="I29" sqref="I29"/>
      <selection pane="bottomRight" activeCell="F20" sqref="F20"/>
    </sheetView>
  </sheetViews>
  <sheetFormatPr defaultRowHeight="15" x14ac:dyDescent="0.25"/>
  <cols>
    <col min="2" max="2" width="29.140625" customWidth="1"/>
    <col min="3" max="13" width="11.140625" customWidth="1"/>
  </cols>
  <sheetData>
    <row r="2" spans="2:13" ht="15.75" thickBot="1" x14ac:dyDescent="0.3"/>
    <row r="3" spans="2:13" x14ac:dyDescent="0.25">
      <c r="B3" s="268" t="s">
        <v>507</v>
      </c>
      <c r="C3" s="360"/>
      <c r="D3" s="360"/>
      <c r="E3" s="360"/>
      <c r="F3" s="339"/>
      <c r="G3" s="339"/>
      <c r="H3" s="339"/>
      <c r="I3" s="339"/>
      <c r="J3" s="339"/>
      <c r="K3" s="339"/>
      <c r="L3" s="339"/>
      <c r="M3" s="339"/>
    </row>
    <row r="4" spans="2:13" ht="15.75" thickBot="1" x14ac:dyDescent="0.3">
      <c r="B4" s="271" t="s">
        <v>389</v>
      </c>
      <c r="C4" s="361"/>
      <c r="D4" s="361"/>
      <c r="E4" s="361"/>
      <c r="F4" s="341"/>
      <c r="G4" s="341"/>
      <c r="H4" s="341"/>
      <c r="I4" s="341"/>
      <c r="J4" s="341"/>
      <c r="K4" s="341"/>
      <c r="L4" s="341"/>
      <c r="M4" s="341"/>
    </row>
    <row r="5" spans="2:13" x14ac:dyDescent="0.25">
      <c r="B5" s="385"/>
      <c r="C5" s="385"/>
      <c r="D5" s="385"/>
      <c r="E5" s="385"/>
      <c r="F5" s="386"/>
      <c r="G5" s="386"/>
      <c r="H5" s="386"/>
      <c r="I5" s="386"/>
      <c r="J5" s="386"/>
      <c r="K5" s="386"/>
      <c r="L5" s="386"/>
      <c r="M5" s="386"/>
    </row>
    <row r="6" spans="2:13" ht="15.75" thickBot="1" x14ac:dyDescent="0.3">
      <c r="B6" s="247" t="s">
        <v>510</v>
      </c>
      <c r="C6" s="387">
        <f>Inputs!D10</f>
        <v>0.12</v>
      </c>
    </row>
    <row r="7" spans="2:13" x14ac:dyDescent="0.25">
      <c r="B7" s="274" t="s">
        <v>525</v>
      </c>
      <c r="C7" s="384">
        <v>44286</v>
      </c>
      <c r="D7" s="384">
        <f t="shared" ref="D7:F7" si="0">DATE(YEAR(C7)+1,MONTH(C7),DAY((C7)))</f>
        <v>44651</v>
      </c>
      <c r="E7" s="384">
        <f t="shared" si="0"/>
        <v>45016</v>
      </c>
      <c r="F7" s="384">
        <f t="shared" si="0"/>
        <v>45382</v>
      </c>
      <c r="G7" s="384">
        <f>DATE(YEAR(F7)+1,MONTH(F7),DAY((F7)))</f>
        <v>45747</v>
      </c>
      <c r="H7" s="384">
        <f t="shared" ref="H7:M7" si="1">DATE(YEAR(G7)+1,MONTH(G7),DAY((G7)))</f>
        <v>46112</v>
      </c>
      <c r="I7" s="384">
        <f t="shared" si="1"/>
        <v>46477</v>
      </c>
      <c r="J7" s="384">
        <f t="shared" si="1"/>
        <v>46843</v>
      </c>
      <c r="K7" s="384">
        <f t="shared" si="1"/>
        <v>47208</v>
      </c>
      <c r="L7" s="384">
        <f t="shared" si="1"/>
        <v>47573</v>
      </c>
      <c r="M7" s="384">
        <f t="shared" si="1"/>
        <v>47938</v>
      </c>
    </row>
    <row r="8" spans="2:13" x14ac:dyDescent="0.25">
      <c r="B8" s="383" t="s">
        <v>509</v>
      </c>
      <c r="C8" s="343"/>
      <c r="D8" s="343"/>
      <c r="E8" s="343"/>
      <c r="F8" s="343"/>
      <c r="G8" s="343"/>
      <c r="H8" s="343"/>
      <c r="I8" s="343"/>
      <c r="J8" s="343"/>
      <c r="K8" s="343"/>
      <c r="L8" s="343"/>
      <c r="M8" s="343"/>
    </row>
    <row r="9" spans="2:13" x14ac:dyDescent="0.25">
      <c r="B9" s="326" t="s">
        <v>481</v>
      </c>
      <c r="C9" s="327"/>
      <c r="D9" s="330">
        <f>+IDC!F29</f>
        <v>29.71283062276585</v>
      </c>
      <c r="E9" s="330">
        <f t="shared" ref="E9:M9" si="2">+D67</f>
        <v>136.58749147433142</v>
      </c>
      <c r="F9" s="330">
        <f t="shared" si="2"/>
        <v>136.58749147433142</v>
      </c>
      <c r="G9" s="330">
        <f t="shared" si="2"/>
        <v>119.51405504003998</v>
      </c>
      <c r="H9" s="330">
        <f t="shared" si="2"/>
        <v>102.44061860574857</v>
      </c>
      <c r="I9" s="330">
        <f t="shared" si="2"/>
        <v>85.367182171457159</v>
      </c>
      <c r="J9" s="330">
        <f t="shared" si="2"/>
        <v>68.29374573716575</v>
      </c>
      <c r="K9" s="330">
        <f t="shared" si="2"/>
        <v>51.22030930287432</v>
      </c>
      <c r="L9" s="330">
        <f t="shared" si="2"/>
        <v>34.146872868582882</v>
      </c>
      <c r="M9" s="330">
        <f t="shared" si="2"/>
        <v>17.073436434291459</v>
      </c>
    </row>
    <row r="10" spans="2:13" x14ac:dyDescent="0.25">
      <c r="B10" s="329" t="s">
        <v>508</v>
      </c>
      <c r="C10" s="327"/>
      <c r="D10" s="327"/>
      <c r="E10" s="327"/>
      <c r="F10" s="327"/>
      <c r="G10" s="330"/>
      <c r="H10" s="330"/>
      <c r="I10" s="330"/>
      <c r="J10" s="330"/>
      <c r="K10" s="330"/>
      <c r="L10" s="330"/>
      <c r="M10" s="330"/>
    </row>
    <row r="11" spans="2:13" x14ac:dyDescent="0.25">
      <c r="B11" s="329" t="s">
        <v>234</v>
      </c>
      <c r="C11" s="330"/>
      <c r="D11" s="330">
        <f t="shared" ref="D11:M11" si="3">D9*$C$6/12</f>
        <v>0.29712830622765846</v>
      </c>
      <c r="E11" s="330">
        <f t="shared" si="3"/>
        <v>1.365874914743314</v>
      </c>
      <c r="F11" s="330">
        <f t="shared" si="3"/>
        <v>1.365874914743314</v>
      </c>
      <c r="G11" s="330">
        <f t="shared" si="3"/>
        <v>1.1951405504003998</v>
      </c>
      <c r="H11" s="330">
        <f t="shared" si="3"/>
        <v>1.0244061860574856</v>
      </c>
      <c r="I11" s="330">
        <f t="shared" si="3"/>
        <v>0.85367182171457145</v>
      </c>
      <c r="J11" s="330">
        <f t="shared" si="3"/>
        <v>0.68293745737165745</v>
      </c>
      <c r="K11" s="330">
        <f t="shared" si="3"/>
        <v>0.51220309302874323</v>
      </c>
      <c r="L11" s="330">
        <f t="shared" si="3"/>
        <v>0.34146872868582884</v>
      </c>
      <c r="M11" s="330">
        <f t="shared" si="3"/>
        <v>0.17073436434291459</v>
      </c>
    </row>
    <row r="12" spans="2:13" ht="15.75" thickBot="1" x14ac:dyDescent="0.3">
      <c r="B12" s="332" t="s">
        <v>483</v>
      </c>
      <c r="C12" s="323"/>
      <c r="D12" s="323">
        <f t="shared" ref="D12:M12" si="4">D9-D10</f>
        <v>29.71283062276585</v>
      </c>
      <c r="E12" s="323">
        <f t="shared" si="4"/>
        <v>136.58749147433142</v>
      </c>
      <c r="F12" s="323">
        <f t="shared" si="4"/>
        <v>136.58749147433142</v>
      </c>
      <c r="G12" s="323">
        <f t="shared" si="4"/>
        <v>119.51405504003998</v>
      </c>
      <c r="H12" s="323">
        <f t="shared" si="4"/>
        <v>102.44061860574857</v>
      </c>
      <c r="I12" s="323">
        <f t="shared" si="4"/>
        <v>85.367182171457159</v>
      </c>
      <c r="J12" s="323">
        <f t="shared" si="4"/>
        <v>68.29374573716575</v>
      </c>
      <c r="K12" s="323">
        <f t="shared" si="4"/>
        <v>51.22030930287432</v>
      </c>
      <c r="L12" s="323">
        <f t="shared" si="4"/>
        <v>34.146872868582882</v>
      </c>
      <c r="M12" s="323">
        <f t="shared" si="4"/>
        <v>17.073436434291459</v>
      </c>
    </row>
    <row r="13" spans="2:13" ht="15.75" thickTop="1" x14ac:dyDescent="0.25">
      <c r="B13" s="383" t="s">
        <v>511</v>
      </c>
      <c r="C13" s="343"/>
      <c r="D13" s="343"/>
      <c r="E13" s="343"/>
      <c r="F13" s="343"/>
      <c r="G13" s="343"/>
      <c r="H13" s="343"/>
      <c r="I13" s="343"/>
      <c r="J13" s="343"/>
      <c r="K13" s="343"/>
      <c r="L13" s="343"/>
      <c r="M13" s="343"/>
    </row>
    <row r="14" spans="2:13" x14ac:dyDescent="0.25">
      <c r="B14" s="326" t="s">
        <v>481</v>
      </c>
      <c r="C14" s="330"/>
      <c r="D14" s="330">
        <f t="shared" ref="D14:M14" si="5">+D12</f>
        <v>29.71283062276585</v>
      </c>
      <c r="E14" s="330">
        <f t="shared" si="5"/>
        <v>136.58749147433142</v>
      </c>
      <c r="F14" s="330">
        <f t="shared" si="5"/>
        <v>136.58749147433142</v>
      </c>
      <c r="G14" s="330">
        <f t="shared" si="5"/>
        <v>119.51405504003998</v>
      </c>
      <c r="H14" s="330">
        <f t="shared" si="5"/>
        <v>102.44061860574857</v>
      </c>
      <c r="I14" s="330">
        <f t="shared" si="5"/>
        <v>85.367182171457159</v>
      </c>
      <c r="J14" s="330">
        <f t="shared" si="5"/>
        <v>68.29374573716575</v>
      </c>
      <c r="K14" s="330">
        <f t="shared" si="5"/>
        <v>51.22030930287432</v>
      </c>
      <c r="L14" s="330">
        <f t="shared" si="5"/>
        <v>34.146872868582882</v>
      </c>
      <c r="M14" s="330">
        <f t="shared" si="5"/>
        <v>17.073436434291459</v>
      </c>
    </row>
    <row r="15" spans="2:13" x14ac:dyDescent="0.25">
      <c r="B15" s="329" t="s">
        <v>508</v>
      </c>
      <c r="C15" s="327"/>
      <c r="D15" s="327"/>
      <c r="E15" s="327"/>
      <c r="F15" s="327"/>
      <c r="G15" s="327"/>
      <c r="H15" s="327"/>
      <c r="I15" s="327"/>
      <c r="J15" s="327"/>
      <c r="K15" s="327"/>
      <c r="L15" s="327"/>
      <c r="M15" s="327"/>
    </row>
    <row r="16" spans="2:13" x14ac:dyDescent="0.25">
      <c r="B16" s="329" t="s">
        <v>234</v>
      </c>
      <c r="C16" s="330"/>
      <c r="D16" s="330">
        <f t="shared" ref="D16:M16" si="6">D14*$C$6/12</f>
        <v>0.29712830622765846</v>
      </c>
      <c r="E16" s="330">
        <f t="shared" si="6"/>
        <v>1.365874914743314</v>
      </c>
      <c r="F16" s="330">
        <f t="shared" si="6"/>
        <v>1.365874914743314</v>
      </c>
      <c r="G16" s="330">
        <f t="shared" si="6"/>
        <v>1.1951405504003998</v>
      </c>
      <c r="H16" s="330">
        <f t="shared" si="6"/>
        <v>1.0244061860574856</v>
      </c>
      <c r="I16" s="330">
        <f t="shared" si="6"/>
        <v>0.85367182171457145</v>
      </c>
      <c r="J16" s="330">
        <f t="shared" si="6"/>
        <v>0.68293745737165745</v>
      </c>
      <c r="K16" s="330">
        <f t="shared" si="6"/>
        <v>0.51220309302874323</v>
      </c>
      <c r="L16" s="330">
        <f t="shared" si="6"/>
        <v>0.34146872868582884</v>
      </c>
      <c r="M16" s="330">
        <f t="shared" si="6"/>
        <v>0.17073436434291459</v>
      </c>
    </row>
    <row r="17" spans="2:13" ht="15.75" thickBot="1" x14ac:dyDescent="0.3">
      <c r="B17" s="332" t="s">
        <v>483</v>
      </c>
      <c r="C17" s="323"/>
      <c r="D17" s="323">
        <f t="shared" ref="D17:M17" si="7">D14-D15</f>
        <v>29.71283062276585</v>
      </c>
      <c r="E17" s="323">
        <f t="shared" si="7"/>
        <v>136.58749147433142</v>
      </c>
      <c r="F17" s="323">
        <f t="shared" si="7"/>
        <v>136.58749147433142</v>
      </c>
      <c r="G17" s="323">
        <f t="shared" si="7"/>
        <v>119.51405504003998</v>
      </c>
      <c r="H17" s="323">
        <f t="shared" si="7"/>
        <v>102.44061860574857</v>
      </c>
      <c r="I17" s="323">
        <f t="shared" si="7"/>
        <v>85.367182171457159</v>
      </c>
      <c r="J17" s="323">
        <f t="shared" si="7"/>
        <v>68.29374573716575</v>
      </c>
      <c r="K17" s="323">
        <f t="shared" si="7"/>
        <v>51.22030930287432</v>
      </c>
      <c r="L17" s="323">
        <f t="shared" si="7"/>
        <v>34.146872868582882</v>
      </c>
      <c r="M17" s="323">
        <f t="shared" si="7"/>
        <v>17.073436434291459</v>
      </c>
    </row>
    <row r="18" spans="2:13" ht="15.75" thickTop="1" x14ac:dyDescent="0.25">
      <c r="B18" s="383" t="s">
        <v>512</v>
      </c>
      <c r="C18" s="343"/>
      <c r="D18" s="343"/>
      <c r="E18" s="343"/>
      <c r="F18" s="343"/>
      <c r="G18" s="343"/>
      <c r="H18" s="343"/>
      <c r="I18" s="343"/>
      <c r="J18" s="343"/>
      <c r="K18" s="343"/>
      <c r="L18" s="343"/>
      <c r="M18" s="343"/>
    </row>
    <row r="19" spans="2:13" x14ac:dyDescent="0.25">
      <c r="B19" s="326" t="s">
        <v>481</v>
      </c>
      <c r="C19" s="330"/>
      <c r="D19" s="330">
        <f t="shared" ref="D19:M19" si="8">+D17</f>
        <v>29.71283062276585</v>
      </c>
      <c r="E19" s="330">
        <f t="shared" si="8"/>
        <v>136.58749147433142</v>
      </c>
      <c r="F19" s="330">
        <f t="shared" si="8"/>
        <v>136.58749147433142</v>
      </c>
      <c r="G19" s="330">
        <f t="shared" si="8"/>
        <v>119.51405504003998</v>
      </c>
      <c r="H19" s="330">
        <f t="shared" si="8"/>
        <v>102.44061860574857</v>
      </c>
      <c r="I19" s="330">
        <f t="shared" si="8"/>
        <v>85.367182171457159</v>
      </c>
      <c r="J19" s="330">
        <f t="shared" si="8"/>
        <v>68.29374573716575</v>
      </c>
      <c r="K19" s="330">
        <f t="shared" si="8"/>
        <v>51.22030930287432</v>
      </c>
      <c r="L19" s="330">
        <f t="shared" si="8"/>
        <v>34.146872868582882</v>
      </c>
      <c r="M19" s="330">
        <f t="shared" si="8"/>
        <v>17.073436434291459</v>
      </c>
    </row>
    <row r="20" spans="2:13" x14ac:dyDescent="0.25">
      <c r="B20" s="329" t="s">
        <v>508</v>
      </c>
      <c r="C20" s="327"/>
      <c r="D20" s="327"/>
      <c r="E20" s="327"/>
      <c r="F20" s="330">
        <f>F19/32</f>
        <v>4.2683591085728567</v>
      </c>
      <c r="G20" s="330">
        <f>F20</f>
        <v>4.2683591085728567</v>
      </c>
      <c r="H20" s="330">
        <f t="shared" ref="H20:M20" si="9">G20</f>
        <v>4.2683591085728567</v>
      </c>
      <c r="I20" s="330">
        <f t="shared" si="9"/>
        <v>4.2683591085728567</v>
      </c>
      <c r="J20" s="330">
        <f t="shared" si="9"/>
        <v>4.2683591085728567</v>
      </c>
      <c r="K20" s="330">
        <f t="shared" si="9"/>
        <v>4.2683591085728567</v>
      </c>
      <c r="L20" s="330">
        <f t="shared" si="9"/>
        <v>4.2683591085728567</v>
      </c>
      <c r="M20" s="330">
        <f t="shared" si="9"/>
        <v>4.2683591085728567</v>
      </c>
    </row>
    <row r="21" spans="2:13" x14ac:dyDescent="0.25">
      <c r="B21" s="329" t="s">
        <v>234</v>
      </c>
      <c r="C21" s="330"/>
      <c r="D21" s="330">
        <f t="shared" ref="D21:M21" si="10">D19*$C$6/12</f>
        <v>0.29712830622765846</v>
      </c>
      <c r="E21" s="330">
        <f t="shared" si="10"/>
        <v>1.365874914743314</v>
      </c>
      <c r="F21" s="330">
        <f t="shared" si="10"/>
        <v>1.365874914743314</v>
      </c>
      <c r="G21" s="330">
        <f t="shared" si="10"/>
        <v>1.1951405504003998</v>
      </c>
      <c r="H21" s="330">
        <f t="shared" si="10"/>
        <v>1.0244061860574856</v>
      </c>
      <c r="I21" s="330">
        <f t="shared" si="10"/>
        <v>0.85367182171457145</v>
      </c>
      <c r="J21" s="330">
        <f t="shared" si="10"/>
        <v>0.68293745737165745</v>
      </c>
      <c r="K21" s="330">
        <f t="shared" si="10"/>
        <v>0.51220309302874323</v>
      </c>
      <c r="L21" s="330">
        <f t="shared" si="10"/>
        <v>0.34146872868582884</v>
      </c>
      <c r="M21" s="330">
        <f t="shared" si="10"/>
        <v>0.17073436434291459</v>
      </c>
    </row>
    <row r="22" spans="2:13" ht="15.75" thickBot="1" x14ac:dyDescent="0.3">
      <c r="B22" s="332" t="s">
        <v>483</v>
      </c>
      <c r="C22" s="323"/>
      <c r="D22" s="323">
        <f t="shared" ref="D22:M22" si="11">D19-D20</f>
        <v>29.71283062276585</v>
      </c>
      <c r="E22" s="323">
        <f t="shared" si="11"/>
        <v>136.58749147433142</v>
      </c>
      <c r="F22" s="323">
        <f t="shared" si="11"/>
        <v>132.31913236575855</v>
      </c>
      <c r="G22" s="323">
        <f t="shared" si="11"/>
        <v>115.24569593146713</v>
      </c>
      <c r="H22" s="323">
        <f t="shared" si="11"/>
        <v>98.172259497175716</v>
      </c>
      <c r="I22" s="323">
        <f t="shared" si="11"/>
        <v>81.098823062884307</v>
      </c>
      <c r="J22" s="323">
        <f t="shared" si="11"/>
        <v>64.025386628592898</v>
      </c>
      <c r="K22" s="323">
        <f t="shared" si="11"/>
        <v>46.95195019430146</v>
      </c>
      <c r="L22" s="323">
        <f t="shared" si="11"/>
        <v>29.878513760010026</v>
      </c>
      <c r="M22" s="323">
        <f t="shared" si="11"/>
        <v>12.805077325718603</v>
      </c>
    </row>
    <row r="23" spans="2:13" ht="15.75" thickTop="1" x14ac:dyDescent="0.25">
      <c r="B23" s="383" t="s">
        <v>513</v>
      </c>
      <c r="C23" s="343"/>
      <c r="D23" s="343"/>
      <c r="E23" s="343"/>
      <c r="F23" s="343"/>
      <c r="G23" s="343"/>
      <c r="H23" s="343"/>
      <c r="I23" s="343"/>
      <c r="J23" s="343"/>
      <c r="K23" s="343"/>
      <c r="L23" s="343"/>
      <c r="M23" s="343"/>
    </row>
    <row r="24" spans="2:13" x14ac:dyDescent="0.25">
      <c r="B24" s="326" t="s">
        <v>481</v>
      </c>
      <c r="C24" s="330"/>
      <c r="D24" s="330">
        <f>+IDC!G29</f>
        <v>68.437698757395822</v>
      </c>
      <c r="E24" s="330">
        <f t="shared" ref="E24:M24" si="12">+E22</f>
        <v>136.58749147433142</v>
      </c>
      <c r="F24" s="330">
        <f t="shared" si="12"/>
        <v>132.31913236575855</v>
      </c>
      <c r="G24" s="330">
        <f t="shared" si="12"/>
        <v>115.24569593146713</v>
      </c>
      <c r="H24" s="330">
        <f t="shared" si="12"/>
        <v>98.172259497175716</v>
      </c>
      <c r="I24" s="330">
        <f t="shared" si="12"/>
        <v>81.098823062884307</v>
      </c>
      <c r="J24" s="330">
        <f t="shared" si="12"/>
        <v>64.025386628592898</v>
      </c>
      <c r="K24" s="330">
        <f t="shared" si="12"/>
        <v>46.95195019430146</v>
      </c>
      <c r="L24" s="330">
        <f t="shared" si="12"/>
        <v>29.878513760010026</v>
      </c>
      <c r="M24" s="330">
        <f t="shared" si="12"/>
        <v>12.805077325718603</v>
      </c>
    </row>
    <row r="25" spans="2:13" x14ac:dyDescent="0.25">
      <c r="B25" s="329" t="s">
        <v>508</v>
      </c>
      <c r="C25" s="327"/>
      <c r="D25" s="327"/>
      <c r="E25" s="327"/>
      <c r="F25" s="327"/>
      <c r="G25" s="327"/>
      <c r="H25" s="327"/>
      <c r="I25" s="327"/>
      <c r="J25" s="327"/>
      <c r="K25" s="327"/>
      <c r="L25" s="327"/>
      <c r="M25" s="327"/>
    </row>
    <row r="26" spans="2:13" x14ac:dyDescent="0.25">
      <c r="B26" s="329" t="s">
        <v>234</v>
      </c>
      <c r="C26" s="330"/>
      <c r="D26" s="330">
        <f t="shared" ref="D26:M26" si="13">D24*$C$6/12</f>
        <v>0.68437698757395815</v>
      </c>
      <c r="E26" s="330">
        <f t="shared" si="13"/>
        <v>1.365874914743314</v>
      </c>
      <c r="F26" s="330">
        <f t="shared" si="13"/>
        <v>1.3231913236575854</v>
      </c>
      <c r="G26" s="330">
        <f t="shared" si="13"/>
        <v>1.1524569593146712</v>
      </c>
      <c r="H26" s="330">
        <f t="shared" si="13"/>
        <v>0.98172259497175718</v>
      </c>
      <c r="I26" s="330">
        <f t="shared" si="13"/>
        <v>0.81098823062884307</v>
      </c>
      <c r="J26" s="330">
        <f t="shared" si="13"/>
        <v>0.64025386628592895</v>
      </c>
      <c r="K26" s="330">
        <f t="shared" si="13"/>
        <v>0.46951950194301456</v>
      </c>
      <c r="L26" s="330">
        <f t="shared" si="13"/>
        <v>0.29878513760010023</v>
      </c>
      <c r="M26" s="330">
        <f t="shared" si="13"/>
        <v>0.12805077325718603</v>
      </c>
    </row>
    <row r="27" spans="2:13" ht="15.75" thickBot="1" x14ac:dyDescent="0.3">
      <c r="B27" s="332" t="s">
        <v>483</v>
      </c>
      <c r="C27" s="323"/>
      <c r="D27" s="323">
        <f t="shared" ref="D27:M27" si="14">D24-D25</f>
        <v>68.437698757395822</v>
      </c>
      <c r="E27" s="323">
        <f t="shared" si="14"/>
        <v>136.58749147433142</v>
      </c>
      <c r="F27" s="323">
        <f t="shared" si="14"/>
        <v>132.31913236575855</v>
      </c>
      <c r="G27" s="323">
        <f t="shared" si="14"/>
        <v>115.24569593146713</v>
      </c>
      <c r="H27" s="323">
        <f t="shared" si="14"/>
        <v>98.172259497175716</v>
      </c>
      <c r="I27" s="323">
        <f t="shared" si="14"/>
        <v>81.098823062884307</v>
      </c>
      <c r="J27" s="323">
        <f t="shared" si="14"/>
        <v>64.025386628592898</v>
      </c>
      <c r="K27" s="323">
        <f t="shared" si="14"/>
        <v>46.95195019430146</v>
      </c>
      <c r="L27" s="323">
        <f t="shared" si="14"/>
        <v>29.878513760010026</v>
      </c>
      <c r="M27" s="323">
        <f t="shared" si="14"/>
        <v>12.805077325718603</v>
      </c>
    </row>
    <row r="28" spans="2:13" ht="15.75" thickTop="1" x14ac:dyDescent="0.25">
      <c r="B28" s="383" t="s">
        <v>514</v>
      </c>
      <c r="C28" s="343"/>
      <c r="D28" s="343"/>
      <c r="E28" s="343"/>
      <c r="F28" s="343"/>
      <c r="G28" s="343"/>
      <c r="H28" s="343"/>
      <c r="I28" s="343"/>
      <c r="J28" s="343"/>
      <c r="K28" s="343"/>
      <c r="L28" s="343"/>
      <c r="M28" s="343"/>
    </row>
    <row r="29" spans="2:13" x14ac:dyDescent="0.25">
      <c r="B29" s="326" t="s">
        <v>481</v>
      </c>
      <c r="C29" s="330"/>
      <c r="D29" s="330">
        <f t="shared" ref="D29:M29" si="15">+D27</f>
        <v>68.437698757395822</v>
      </c>
      <c r="E29" s="330">
        <f t="shared" si="15"/>
        <v>136.58749147433142</v>
      </c>
      <c r="F29" s="330">
        <f t="shared" si="15"/>
        <v>132.31913236575855</v>
      </c>
      <c r="G29" s="330">
        <f t="shared" si="15"/>
        <v>115.24569593146713</v>
      </c>
      <c r="H29" s="330">
        <f t="shared" si="15"/>
        <v>98.172259497175716</v>
      </c>
      <c r="I29" s="330">
        <f t="shared" si="15"/>
        <v>81.098823062884307</v>
      </c>
      <c r="J29" s="330">
        <f t="shared" si="15"/>
        <v>64.025386628592898</v>
      </c>
      <c r="K29" s="330">
        <f t="shared" si="15"/>
        <v>46.95195019430146</v>
      </c>
      <c r="L29" s="330">
        <f t="shared" si="15"/>
        <v>29.878513760010026</v>
      </c>
      <c r="M29" s="330">
        <f t="shared" si="15"/>
        <v>12.805077325718603</v>
      </c>
    </row>
    <row r="30" spans="2:13" x14ac:dyDescent="0.25">
      <c r="B30" s="329" t="s">
        <v>508</v>
      </c>
      <c r="C30" s="327"/>
      <c r="D30" s="327"/>
      <c r="E30" s="327"/>
      <c r="F30" s="327"/>
      <c r="G30" s="327"/>
      <c r="H30" s="327"/>
      <c r="I30" s="327"/>
      <c r="J30" s="327"/>
      <c r="K30" s="327"/>
      <c r="L30" s="327"/>
      <c r="M30" s="327"/>
    </row>
    <row r="31" spans="2:13" x14ac:dyDescent="0.25">
      <c r="B31" s="329" t="s">
        <v>234</v>
      </c>
      <c r="C31" s="330"/>
      <c r="D31" s="330">
        <f t="shared" ref="D31:M31" si="16">D29*$C$6/12</f>
        <v>0.68437698757395815</v>
      </c>
      <c r="E31" s="330">
        <f t="shared" si="16"/>
        <v>1.365874914743314</v>
      </c>
      <c r="F31" s="330">
        <f t="shared" si="16"/>
        <v>1.3231913236575854</v>
      </c>
      <c r="G31" s="330">
        <f t="shared" si="16"/>
        <v>1.1524569593146712</v>
      </c>
      <c r="H31" s="330">
        <f t="shared" si="16"/>
        <v>0.98172259497175718</v>
      </c>
      <c r="I31" s="330">
        <f t="shared" si="16"/>
        <v>0.81098823062884307</v>
      </c>
      <c r="J31" s="330">
        <f t="shared" si="16"/>
        <v>0.64025386628592895</v>
      </c>
      <c r="K31" s="330">
        <f t="shared" si="16"/>
        <v>0.46951950194301456</v>
      </c>
      <c r="L31" s="330">
        <f t="shared" si="16"/>
        <v>0.29878513760010023</v>
      </c>
      <c r="M31" s="330">
        <f t="shared" si="16"/>
        <v>0.12805077325718603</v>
      </c>
    </row>
    <row r="32" spans="2:13" ht="15.75" thickBot="1" x14ac:dyDescent="0.3">
      <c r="B32" s="332" t="s">
        <v>483</v>
      </c>
      <c r="C32" s="323"/>
      <c r="D32" s="323">
        <f t="shared" ref="D32:M32" si="17">D29-D30</f>
        <v>68.437698757395822</v>
      </c>
      <c r="E32" s="323">
        <f t="shared" si="17"/>
        <v>136.58749147433142</v>
      </c>
      <c r="F32" s="323">
        <f t="shared" si="17"/>
        <v>132.31913236575855</v>
      </c>
      <c r="G32" s="323">
        <f t="shared" si="17"/>
        <v>115.24569593146713</v>
      </c>
      <c r="H32" s="323">
        <f t="shared" si="17"/>
        <v>98.172259497175716</v>
      </c>
      <c r="I32" s="323">
        <f t="shared" si="17"/>
        <v>81.098823062884307</v>
      </c>
      <c r="J32" s="323">
        <f t="shared" si="17"/>
        <v>64.025386628592898</v>
      </c>
      <c r="K32" s="323">
        <f t="shared" si="17"/>
        <v>46.95195019430146</v>
      </c>
      <c r="L32" s="323">
        <f t="shared" si="17"/>
        <v>29.878513760010026</v>
      </c>
      <c r="M32" s="323">
        <f t="shared" si="17"/>
        <v>12.805077325718603</v>
      </c>
    </row>
    <row r="33" spans="2:13" ht="15.75" thickTop="1" x14ac:dyDescent="0.25">
      <c r="B33" s="383" t="s">
        <v>515</v>
      </c>
      <c r="C33" s="343"/>
      <c r="D33" s="343"/>
      <c r="E33" s="343"/>
      <c r="F33" s="343"/>
      <c r="G33" s="343"/>
      <c r="H33" s="343"/>
      <c r="I33" s="343"/>
      <c r="J33" s="343"/>
      <c r="K33" s="343"/>
      <c r="L33" s="343"/>
      <c r="M33" s="343"/>
    </row>
    <row r="34" spans="2:13" x14ac:dyDescent="0.25">
      <c r="B34" s="326" t="s">
        <v>481</v>
      </c>
      <c r="C34" s="330"/>
      <c r="D34" s="330">
        <f t="shared" ref="D34:M34" si="18">+D32</f>
        <v>68.437698757395822</v>
      </c>
      <c r="E34" s="330">
        <f t="shared" si="18"/>
        <v>136.58749147433142</v>
      </c>
      <c r="F34" s="330">
        <f t="shared" si="18"/>
        <v>132.31913236575855</v>
      </c>
      <c r="G34" s="330">
        <f t="shared" si="18"/>
        <v>115.24569593146713</v>
      </c>
      <c r="H34" s="330">
        <f t="shared" si="18"/>
        <v>98.172259497175716</v>
      </c>
      <c r="I34" s="330">
        <f t="shared" si="18"/>
        <v>81.098823062884307</v>
      </c>
      <c r="J34" s="330">
        <f t="shared" si="18"/>
        <v>64.025386628592898</v>
      </c>
      <c r="K34" s="330">
        <f t="shared" si="18"/>
        <v>46.95195019430146</v>
      </c>
      <c r="L34" s="330">
        <f t="shared" si="18"/>
        <v>29.878513760010026</v>
      </c>
      <c r="M34" s="330">
        <f t="shared" si="18"/>
        <v>12.805077325718603</v>
      </c>
    </row>
    <row r="35" spans="2:13" x14ac:dyDescent="0.25">
      <c r="B35" s="329" t="s">
        <v>508</v>
      </c>
      <c r="C35" s="327"/>
      <c r="D35" s="327"/>
      <c r="E35" s="327"/>
      <c r="F35" s="330">
        <f>F20</f>
        <v>4.2683591085728567</v>
      </c>
      <c r="G35" s="330">
        <f>F35</f>
        <v>4.2683591085728567</v>
      </c>
      <c r="H35" s="330">
        <f t="shared" ref="H35:M35" si="19">G35</f>
        <v>4.2683591085728567</v>
      </c>
      <c r="I35" s="330">
        <f t="shared" si="19"/>
        <v>4.2683591085728567</v>
      </c>
      <c r="J35" s="330">
        <f t="shared" si="19"/>
        <v>4.2683591085728567</v>
      </c>
      <c r="K35" s="330">
        <f t="shared" si="19"/>
        <v>4.2683591085728567</v>
      </c>
      <c r="L35" s="330">
        <f t="shared" si="19"/>
        <v>4.2683591085728567</v>
      </c>
      <c r="M35" s="330">
        <f t="shared" si="19"/>
        <v>4.2683591085728567</v>
      </c>
    </row>
    <row r="36" spans="2:13" x14ac:dyDescent="0.25">
      <c r="B36" s="329" t="s">
        <v>234</v>
      </c>
      <c r="C36" s="330"/>
      <c r="D36" s="330">
        <f t="shared" ref="D36:M36" si="20">D34*$C$6/12</f>
        <v>0.68437698757395815</v>
      </c>
      <c r="E36" s="330">
        <f t="shared" si="20"/>
        <v>1.365874914743314</v>
      </c>
      <c r="F36" s="330">
        <f t="shared" si="20"/>
        <v>1.3231913236575854</v>
      </c>
      <c r="G36" s="330">
        <f t="shared" si="20"/>
        <v>1.1524569593146712</v>
      </c>
      <c r="H36" s="330">
        <f t="shared" si="20"/>
        <v>0.98172259497175718</v>
      </c>
      <c r="I36" s="330">
        <f t="shared" si="20"/>
        <v>0.81098823062884307</v>
      </c>
      <c r="J36" s="330">
        <f t="shared" si="20"/>
        <v>0.64025386628592895</v>
      </c>
      <c r="K36" s="330">
        <f t="shared" si="20"/>
        <v>0.46951950194301456</v>
      </c>
      <c r="L36" s="330">
        <f t="shared" si="20"/>
        <v>0.29878513760010023</v>
      </c>
      <c r="M36" s="330">
        <f t="shared" si="20"/>
        <v>0.12805077325718603</v>
      </c>
    </row>
    <row r="37" spans="2:13" ht="15.75" thickBot="1" x14ac:dyDescent="0.3">
      <c r="B37" s="332" t="s">
        <v>483</v>
      </c>
      <c r="C37" s="323"/>
      <c r="D37" s="323">
        <f t="shared" ref="D37:M37" si="21">D34-D35</f>
        <v>68.437698757395822</v>
      </c>
      <c r="E37" s="323">
        <f t="shared" si="21"/>
        <v>136.58749147433142</v>
      </c>
      <c r="F37" s="323">
        <f t="shared" si="21"/>
        <v>128.05077325718568</v>
      </c>
      <c r="G37" s="323">
        <f t="shared" si="21"/>
        <v>110.97733682289427</v>
      </c>
      <c r="H37" s="323">
        <f t="shared" si="21"/>
        <v>93.903900388602864</v>
      </c>
      <c r="I37" s="323">
        <f t="shared" si="21"/>
        <v>76.830463954311455</v>
      </c>
      <c r="J37" s="323">
        <f t="shared" si="21"/>
        <v>59.757027520020038</v>
      </c>
      <c r="K37" s="323">
        <f t="shared" si="21"/>
        <v>42.683591085728601</v>
      </c>
      <c r="L37" s="323">
        <f t="shared" si="21"/>
        <v>25.610154651437171</v>
      </c>
      <c r="M37" s="323">
        <f t="shared" si="21"/>
        <v>8.5367182171457472</v>
      </c>
    </row>
    <row r="38" spans="2:13" ht="15.75" thickTop="1" x14ac:dyDescent="0.25">
      <c r="B38" s="383" t="s">
        <v>516</v>
      </c>
      <c r="C38" s="343"/>
      <c r="D38" s="343"/>
      <c r="E38" s="343"/>
      <c r="F38" s="343"/>
      <c r="G38" s="343"/>
      <c r="H38" s="343"/>
      <c r="I38" s="343"/>
      <c r="J38" s="343"/>
      <c r="K38" s="343"/>
      <c r="L38" s="343"/>
      <c r="M38" s="343"/>
    </row>
    <row r="39" spans="2:13" x14ac:dyDescent="0.25">
      <c r="B39" s="326" t="s">
        <v>481</v>
      </c>
      <c r="C39" s="330">
        <f>+IDC!D29</f>
        <v>5.8347040555496985</v>
      </c>
      <c r="D39" s="330">
        <f>+IDC!H29</f>
        <v>111.53543042210737</v>
      </c>
      <c r="E39" s="330">
        <f t="shared" ref="E39:M39" si="22">+E37</f>
        <v>136.58749147433142</v>
      </c>
      <c r="F39" s="330">
        <f t="shared" si="22"/>
        <v>128.05077325718568</v>
      </c>
      <c r="G39" s="330">
        <f t="shared" si="22"/>
        <v>110.97733682289427</v>
      </c>
      <c r="H39" s="330">
        <f t="shared" si="22"/>
        <v>93.903900388602864</v>
      </c>
      <c r="I39" s="330">
        <f t="shared" si="22"/>
        <v>76.830463954311455</v>
      </c>
      <c r="J39" s="330">
        <f t="shared" si="22"/>
        <v>59.757027520020038</v>
      </c>
      <c r="K39" s="330">
        <f t="shared" si="22"/>
        <v>42.683591085728601</v>
      </c>
      <c r="L39" s="330">
        <f t="shared" si="22"/>
        <v>25.610154651437171</v>
      </c>
      <c r="M39" s="330">
        <f t="shared" si="22"/>
        <v>8.5367182171457472</v>
      </c>
    </row>
    <row r="40" spans="2:13" x14ac:dyDescent="0.25">
      <c r="B40" s="329" t="s">
        <v>508</v>
      </c>
      <c r="C40" s="327"/>
      <c r="D40" s="327"/>
      <c r="E40" s="327"/>
      <c r="F40" s="327"/>
      <c r="G40" s="327"/>
      <c r="H40" s="327"/>
      <c r="I40" s="327"/>
      <c r="J40" s="327"/>
      <c r="K40" s="327"/>
      <c r="L40" s="327"/>
      <c r="M40" s="327"/>
    </row>
    <row r="41" spans="2:13" x14ac:dyDescent="0.25">
      <c r="B41" s="329" t="s">
        <v>234</v>
      </c>
      <c r="C41" s="330">
        <f>C39*$C$6/12</f>
        <v>5.8347040555496978E-2</v>
      </c>
      <c r="D41" s="330">
        <f t="shared" ref="D41:M41" si="23">D39*$C$6/12</f>
        <v>1.1153543042210736</v>
      </c>
      <c r="E41" s="330">
        <f t="shared" si="23"/>
        <v>1.365874914743314</v>
      </c>
      <c r="F41" s="330">
        <f t="shared" si="23"/>
        <v>1.2805077325718568</v>
      </c>
      <c r="G41" s="330">
        <f t="shared" si="23"/>
        <v>1.1097733682289428</v>
      </c>
      <c r="H41" s="330">
        <f t="shared" si="23"/>
        <v>0.93903900388602857</v>
      </c>
      <c r="I41" s="330">
        <f t="shared" si="23"/>
        <v>0.76830463954311456</v>
      </c>
      <c r="J41" s="330">
        <f t="shared" si="23"/>
        <v>0.59757027520020034</v>
      </c>
      <c r="K41" s="330">
        <f t="shared" si="23"/>
        <v>0.42683591085728595</v>
      </c>
      <c r="L41" s="330">
        <f t="shared" si="23"/>
        <v>0.25610154651437173</v>
      </c>
      <c r="M41" s="330">
        <f t="shared" si="23"/>
        <v>8.5367182171457459E-2</v>
      </c>
    </row>
    <row r="42" spans="2:13" ht="15.75" thickBot="1" x14ac:dyDescent="0.3">
      <c r="B42" s="332" t="s">
        <v>483</v>
      </c>
      <c r="C42" s="323">
        <f>C39-C40</f>
        <v>5.8347040555496985</v>
      </c>
      <c r="D42" s="323">
        <f t="shared" ref="D42:M42" si="24">D39-D40</f>
        <v>111.53543042210737</v>
      </c>
      <c r="E42" s="323">
        <f t="shared" si="24"/>
        <v>136.58749147433142</v>
      </c>
      <c r="F42" s="323">
        <f t="shared" si="24"/>
        <v>128.05077325718568</v>
      </c>
      <c r="G42" s="323">
        <f t="shared" si="24"/>
        <v>110.97733682289427</v>
      </c>
      <c r="H42" s="323">
        <f t="shared" si="24"/>
        <v>93.903900388602864</v>
      </c>
      <c r="I42" s="323">
        <f t="shared" si="24"/>
        <v>76.830463954311455</v>
      </c>
      <c r="J42" s="323">
        <f t="shared" si="24"/>
        <v>59.757027520020038</v>
      </c>
      <c r="K42" s="323">
        <f t="shared" si="24"/>
        <v>42.683591085728601</v>
      </c>
      <c r="L42" s="323">
        <f t="shared" si="24"/>
        <v>25.610154651437171</v>
      </c>
      <c r="M42" s="323">
        <f t="shared" si="24"/>
        <v>8.5367182171457472</v>
      </c>
    </row>
    <row r="43" spans="2:13" ht="15.75" thickTop="1" x14ac:dyDescent="0.25">
      <c r="B43" s="383" t="s">
        <v>517</v>
      </c>
      <c r="C43" s="343"/>
      <c r="D43" s="343"/>
      <c r="E43" s="343"/>
      <c r="F43" s="343"/>
      <c r="G43" s="343"/>
      <c r="H43" s="343"/>
      <c r="I43" s="343"/>
      <c r="J43" s="343"/>
      <c r="K43" s="343"/>
      <c r="L43" s="343"/>
      <c r="M43" s="343"/>
    </row>
    <row r="44" spans="2:13" x14ac:dyDescent="0.25">
      <c r="B44" s="326" t="s">
        <v>481</v>
      </c>
      <c r="C44" s="330">
        <f>+C42</f>
        <v>5.8347040555496985</v>
      </c>
      <c r="D44" s="330">
        <f t="shared" ref="D44:M44" si="25">+D42</f>
        <v>111.53543042210737</v>
      </c>
      <c r="E44" s="330">
        <f t="shared" si="25"/>
        <v>136.58749147433142</v>
      </c>
      <c r="F44" s="330">
        <f t="shared" si="25"/>
        <v>128.05077325718568</v>
      </c>
      <c r="G44" s="330">
        <f t="shared" si="25"/>
        <v>110.97733682289427</v>
      </c>
      <c r="H44" s="330">
        <f t="shared" si="25"/>
        <v>93.903900388602864</v>
      </c>
      <c r="I44" s="330">
        <f t="shared" si="25"/>
        <v>76.830463954311455</v>
      </c>
      <c r="J44" s="330">
        <f t="shared" si="25"/>
        <v>59.757027520020038</v>
      </c>
      <c r="K44" s="330">
        <f t="shared" si="25"/>
        <v>42.683591085728601</v>
      </c>
      <c r="L44" s="330">
        <f t="shared" si="25"/>
        <v>25.610154651437171</v>
      </c>
      <c r="M44" s="330">
        <f t="shared" si="25"/>
        <v>8.5367182171457472</v>
      </c>
    </row>
    <row r="45" spans="2:13" x14ac:dyDescent="0.25">
      <c r="B45" s="329" t="s">
        <v>508</v>
      </c>
      <c r="C45" s="327"/>
      <c r="D45" s="327"/>
      <c r="E45" s="327"/>
      <c r="F45" s="327"/>
      <c r="G45" s="327"/>
      <c r="H45" s="327"/>
      <c r="I45" s="327"/>
      <c r="J45" s="327"/>
      <c r="K45" s="327"/>
      <c r="L45" s="327"/>
      <c r="M45" s="327"/>
    </row>
    <row r="46" spans="2:13" x14ac:dyDescent="0.25">
      <c r="B46" s="329" t="s">
        <v>234</v>
      </c>
      <c r="C46" s="330">
        <f>C44*$C$6/12</f>
        <v>5.8347040555496978E-2</v>
      </c>
      <c r="D46" s="330">
        <f t="shared" ref="D46:M46" si="26">D44*$C$6/12</f>
        <v>1.1153543042210736</v>
      </c>
      <c r="E46" s="330">
        <f t="shared" si="26"/>
        <v>1.365874914743314</v>
      </c>
      <c r="F46" s="330">
        <f t="shared" si="26"/>
        <v>1.2805077325718568</v>
      </c>
      <c r="G46" s="330">
        <f t="shared" si="26"/>
        <v>1.1097733682289428</v>
      </c>
      <c r="H46" s="330">
        <f t="shared" si="26"/>
        <v>0.93903900388602857</v>
      </c>
      <c r="I46" s="330">
        <f t="shared" si="26"/>
        <v>0.76830463954311456</v>
      </c>
      <c r="J46" s="330">
        <f t="shared" si="26"/>
        <v>0.59757027520020034</v>
      </c>
      <c r="K46" s="330">
        <f t="shared" si="26"/>
        <v>0.42683591085728595</v>
      </c>
      <c r="L46" s="330">
        <f t="shared" si="26"/>
        <v>0.25610154651437173</v>
      </c>
      <c r="M46" s="330">
        <f t="shared" si="26"/>
        <v>8.5367182171457459E-2</v>
      </c>
    </row>
    <row r="47" spans="2:13" ht="15.75" thickBot="1" x14ac:dyDescent="0.3">
      <c r="B47" s="332" t="s">
        <v>483</v>
      </c>
      <c r="C47" s="323">
        <f>C44-C45</f>
        <v>5.8347040555496985</v>
      </c>
      <c r="D47" s="323">
        <f t="shared" ref="D47:M47" si="27">D44-D45</f>
        <v>111.53543042210737</v>
      </c>
      <c r="E47" s="323">
        <f t="shared" si="27"/>
        <v>136.58749147433142</v>
      </c>
      <c r="F47" s="323">
        <f t="shared" si="27"/>
        <v>128.05077325718568</v>
      </c>
      <c r="G47" s="323">
        <f t="shared" si="27"/>
        <v>110.97733682289427</v>
      </c>
      <c r="H47" s="323">
        <f t="shared" si="27"/>
        <v>93.903900388602864</v>
      </c>
      <c r="I47" s="323">
        <f t="shared" si="27"/>
        <v>76.830463954311455</v>
      </c>
      <c r="J47" s="323">
        <f t="shared" si="27"/>
        <v>59.757027520020038</v>
      </c>
      <c r="K47" s="323">
        <f t="shared" si="27"/>
        <v>42.683591085728601</v>
      </c>
      <c r="L47" s="323">
        <f t="shared" si="27"/>
        <v>25.610154651437171</v>
      </c>
      <c r="M47" s="323">
        <f t="shared" si="27"/>
        <v>8.5367182171457472</v>
      </c>
    </row>
    <row r="48" spans="2:13" ht="15.75" thickTop="1" x14ac:dyDescent="0.25">
      <c r="B48" s="383" t="s">
        <v>518</v>
      </c>
      <c r="C48" s="343"/>
      <c r="D48" s="343"/>
      <c r="E48" s="343"/>
      <c r="F48" s="343"/>
      <c r="G48" s="343"/>
      <c r="H48" s="343"/>
      <c r="I48" s="343"/>
      <c r="J48" s="343"/>
      <c r="K48" s="343"/>
      <c r="L48" s="343"/>
      <c r="M48" s="343"/>
    </row>
    <row r="49" spans="2:13" x14ac:dyDescent="0.25">
      <c r="B49" s="326" t="s">
        <v>481</v>
      </c>
      <c r="C49" s="330">
        <f>+C47</f>
        <v>5.8347040555496985</v>
      </c>
      <c r="D49" s="330">
        <f t="shared" ref="D49:M49" si="28">+D47</f>
        <v>111.53543042210737</v>
      </c>
      <c r="E49" s="330">
        <f t="shared" si="28"/>
        <v>136.58749147433142</v>
      </c>
      <c r="F49" s="330">
        <f t="shared" si="28"/>
        <v>128.05077325718568</v>
      </c>
      <c r="G49" s="330">
        <f t="shared" si="28"/>
        <v>110.97733682289427</v>
      </c>
      <c r="H49" s="330">
        <f t="shared" si="28"/>
        <v>93.903900388602864</v>
      </c>
      <c r="I49" s="330">
        <f t="shared" si="28"/>
        <v>76.830463954311455</v>
      </c>
      <c r="J49" s="330">
        <f t="shared" si="28"/>
        <v>59.757027520020038</v>
      </c>
      <c r="K49" s="330">
        <f t="shared" si="28"/>
        <v>42.683591085728601</v>
      </c>
      <c r="L49" s="330">
        <f t="shared" si="28"/>
        <v>25.610154651437171</v>
      </c>
      <c r="M49" s="330">
        <f t="shared" si="28"/>
        <v>8.5367182171457472</v>
      </c>
    </row>
    <row r="50" spans="2:13" x14ac:dyDescent="0.25">
      <c r="B50" s="329" t="s">
        <v>508</v>
      </c>
      <c r="C50" s="327"/>
      <c r="D50" s="327"/>
      <c r="E50" s="327"/>
      <c r="F50" s="330">
        <f>F35</f>
        <v>4.2683591085728567</v>
      </c>
      <c r="G50" s="330">
        <f>F50</f>
        <v>4.2683591085728567</v>
      </c>
      <c r="H50" s="330">
        <f t="shared" ref="H50:M50" si="29">G50</f>
        <v>4.2683591085728567</v>
      </c>
      <c r="I50" s="330">
        <f t="shared" si="29"/>
        <v>4.2683591085728567</v>
      </c>
      <c r="J50" s="330">
        <f t="shared" si="29"/>
        <v>4.2683591085728567</v>
      </c>
      <c r="K50" s="330">
        <f t="shared" si="29"/>
        <v>4.2683591085728567</v>
      </c>
      <c r="L50" s="330">
        <f t="shared" si="29"/>
        <v>4.2683591085728567</v>
      </c>
      <c r="M50" s="330">
        <f t="shared" si="29"/>
        <v>4.2683591085728567</v>
      </c>
    </row>
    <row r="51" spans="2:13" x14ac:dyDescent="0.25">
      <c r="B51" s="329" t="s">
        <v>234</v>
      </c>
      <c r="C51" s="330">
        <f>C49*$C$6/12</f>
        <v>5.8347040555496978E-2</v>
      </c>
      <c r="D51" s="330">
        <f t="shared" ref="D51:M51" si="30">D49*$C$6/12</f>
        <v>1.1153543042210736</v>
      </c>
      <c r="E51" s="330">
        <f t="shared" si="30"/>
        <v>1.365874914743314</v>
      </c>
      <c r="F51" s="330">
        <f t="shared" si="30"/>
        <v>1.2805077325718568</v>
      </c>
      <c r="G51" s="330">
        <f t="shared" si="30"/>
        <v>1.1097733682289428</v>
      </c>
      <c r="H51" s="330">
        <f t="shared" si="30"/>
        <v>0.93903900388602857</v>
      </c>
      <c r="I51" s="330">
        <f t="shared" si="30"/>
        <v>0.76830463954311456</v>
      </c>
      <c r="J51" s="330">
        <f t="shared" si="30"/>
        <v>0.59757027520020034</v>
      </c>
      <c r="K51" s="330">
        <f t="shared" si="30"/>
        <v>0.42683591085728595</v>
      </c>
      <c r="L51" s="330">
        <f t="shared" si="30"/>
        <v>0.25610154651437173</v>
      </c>
      <c r="M51" s="330">
        <f t="shared" si="30"/>
        <v>8.5367182171457459E-2</v>
      </c>
    </row>
    <row r="52" spans="2:13" ht="15.75" thickBot="1" x14ac:dyDescent="0.3">
      <c r="B52" s="332" t="s">
        <v>483</v>
      </c>
      <c r="C52" s="323">
        <f>C49-C50</f>
        <v>5.8347040555496985</v>
      </c>
      <c r="D52" s="323">
        <f t="shared" ref="D52:M52" si="31">D49-D50</f>
        <v>111.53543042210737</v>
      </c>
      <c r="E52" s="323">
        <f t="shared" si="31"/>
        <v>136.58749147433142</v>
      </c>
      <c r="F52" s="323">
        <f t="shared" si="31"/>
        <v>123.78241414861283</v>
      </c>
      <c r="G52" s="323">
        <f t="shared" si="31"/>
        <v>106.70897771432142</v>
      </c>
      <c r="H52" s="323">
        <f t="shared" si="31"/>
        <v>89.635541280030012</v>
      </c>
      <c r="I52" s="323">
        <f t="shared" si="31"/>
        <v>72.562104845738602</v>
      </c>
      <c r="J52" s="323">
        <f t="shared" si="31"/>
        <v>55.488668411447179</v>
      </c>
      <c r="K52" s="323">
        <f t="shared" si="31"/>
        <v>38.415231977155742</v>
      </c>
      <c r="L52" s="323">
        <f t="shared" si="31"/>
        <v>21.341795542864315</v>
      </c>
      <c r="M52" s="323">
        <f t="shared" si="31"/>
        <v>4.2683591085728905</v>
      </c>
    </row>
    <row r="53" spans="2:13" ht="15.75" thickTop="1" x14ac:dyDescent="0.25">
      <c r="B53" s="383" t="s">
        <v>519</v>
      </c>
      <c r="C53" s="343"/>
      <c r="D53" s="343"/>
      <c r="E53" s="343"/>
      <c r="F53" s="343"/>
      <c r="G53" s="343"/>
      <c r="H53" s="343"/>
      <c r="I53" s="343"/>
      <c r="J53" s="343"/>
      <c r="K53" s="343"/>
      <c r="L53" s="343"/>
      <c r="M53" s="343"/>
    </row>
    <row r="54" spans="2:13" x14ac:dyDescent="0.25">
      <c r="B54" s="326" t="s">
        <v>481</v>
      </c>
      <c r="C54" s="330">
        <f>+IDC!E29</f>
        <v>12.332688007749779</v>
      </c>
      <c r="D54" s="330">
        <f>+IDC!I29</f>
        <v>136.58749147433142</v>
      </c>
      <c r="E54" s="330">
        <f t="shared" ref="E54:M54" si="32">+E52</f>
        <v>136.58749147433142</v>
      </c>
      <c r="F54" s="330">
        <f t="shared" si="32"/>
        <v>123.78241414861283</v>
      </c>
      <c r="G54" s="330">
        <f t="shared" si="32"/>
        <v>106.70897771432142</v>
      </c>
      <c r="H54" s="330">
        <f t="shared" si="32"/>
        <v>89.635541280030012</v>
      </c>
      <c r="I54" s="330">
        <f t="shared" si="32"/>
        <v>72.562104845738602</v>
      </c>
      <c r="J54" s="330">
        <f t="shared" si="32"/>
        <v>55.488668411447179</v>
      </c>
      <c r="K54" s="330">
        <f t="shared" si="32"/>
        <v>38.415231977155742</v>
      </c>
      <c r="L54" s="330">
        <f t="shared" si="32"/>
        <v>21.341795542864315</v>
      </c>
      <c r="M54" s="330">
        <f t="shared" si="32"/>
        <v>4.2683591085728905</v>
      </c>
    </row>
    <row r="55" spans="2:13" x14ac:dyDescent="0.25">
      <c r="B55" s="329" t="s">
        <v>508</v>
      </c>
      <c r="C55" s="327"/>
      <c r="D55" s="327"/>
      <c r="E55" s="327"/>
      <c r="F55" s="327"/>
      <c r="G55" s="327"/>
      <c r="H55" s="327"/>
      <c r="I55" s="327"/>
      <c r="J55" s="327"/>
      <c r="K55" s="327"/>
      <c r="L55" s="327"/>
      <c r="M55" s="327"/>
    </row>
    <row r="56" spans="2:13" x14ac:dyDescent="0.25">
      <c r="B56" s="329" t="s">
        <v>234</v>
      </c>
      <c r="C56" s="330">
        <f>C54*$C$6/12</f>
        <v>0.12332688007749777</v>
      </c>
      <c r="D56" s="330">
        <f t="shared" ref="D56:M56" si="33">D54*$C$6/12</f>
        <v>1.365874914743314</v>
      </c>
      <c r="E56" s="330">
        <f t="shared" si="33"/>
        <v>1.365874914743314</v>
      </c>
      <c r="F56" s="330">
        <f t="shared" si="33"/>
        <v>1.2378241414861282</v>
      </c>
      <c r="G56" s="330">
        <f t="shared" si="33"/>
        <v>1.0670897771432142</v>
      </c>
      <c r="H56" s="330">
        <f t="shared" si="33"/>
        <v>0.89635541280030007</v>
      </c>
      <c r="I56" s="330">
        <f t="shared" si="33"/>
        <v>0.72562104845738595</v>
      </c>
      <c r="J56" s="330">
        <f t="shared" si="33"/>
        <v>0.55488668411447184</v>
      </c>
      <c r="K56" s="330">
        <f t="shared" si="33"/>
        <v>0.38415231977155745</v>
      </c>
      <c r="L56" s="330">
        <f t="shared" si="33"/>
        <v>0.21341795542864314</v>
      </c>
      <c r="M56" s="330">
        <f t="shared" si="33"/>
        <v>4.268359108572891E-2</v>
      </c>
    </row>
    <row r="57" spans="2:13" ht="15.75" thickBot="1" x14ac:dyDescent="0.3">
      <c r="B57" s="332" t="s">
        <v>483</v>
      </c>
      <c r="C57" s="323">
        <f>C54-C55</f>
        <v>12.332688007749779</v>
      </c>
      <c r="D57" s="323">
        <f t="shared" ref="D57:M57" si="34">D54-D55</f>
        <v>136.58749147433142</v>
      </c>
      <c r="E57" s="323">
        <f t="shared" si="34"/>
        <v>136.58749147433142</v>
      </c>
      <c r="F57" s="323">
        <f t="shared" si="34"/>
        <v>123.78241414861283</v>
      </c>
      <c r="G57" s="323">
        <f t="shared" si="34"/>
        <v>106.70897771432142</v>
      </c>
      <c r="H57" s="323">
        <f t="shared" si="34"/>
        <v>89.635541280030012</v>
      </c>
      <c r="I57" s="323">
        <f t="shared" si="34"/>
        <v>72.562104845738602</v>
      </c>
      <c r="J57" s="323">
        <f t="shared" si="34"/>
        <v>55.488668411447179</v>
      </c>
      <c r="K57" s="323">
        <f t="shared" si="34"/>
        <v>38.415231977155742</v>
      </c>
      <c r="L57" s="323">
        <f t="shared" si="34"/>
        <v>21.341795542864315</v>
      </c>
      <c r="M57" s="323">
        <f t="shared" si="34"/>
        <v>4.2683591085728905</v>
      </c>
    </row>
    <row r="58" spans="2:13" ht="15.75" thickTop="1" x14ac:dyDescent="0.25">
      <c r="B58" s="383" t="s">
        <v>520</v>
      </c>
      <c r="C58" s="343"/>
      <c r="D58" s="343"/>
      <c r="E58" s="343"/>
      <c r="F58" s="343"/>
      <c r="G58" s="343"/>
      <c r="H58" s="343"/>
      <c r="I58" s="343"/>
      <c r="J58" s="343"/>
      <c r="K58" s="343"/>
      <c r="L58" s="343"/>
      <c r="M58" s="343"/>
    </row>
    <row r="59" spans="2:13" x14ac:dyDescent="0.25">
      <c r="B59" s="326" t="s">
        <v>481</v>
      </c>
      <c r="C59" s="330">
        <f>+C57</f>
        <v>12.332688007749779</v>
      </c>
      <c r="D59" s="330">
        <f t="shared" ref="D59:M59" si="35">+D57</f>
        <v>136.58749147433142</v>
      </c>
      <c r="E59" s="330">
        <f t="shared" si="35"/>
        <v>136.58749147433142</v>
      </c>
      <c r="F59" s="330">
        <f t="shared" si="35"/>
        <v>123.78241414861283</v>
      </c>
      <c r="G59" s="330">
        <f t="shared" si="35"/>
        <v>106.70897771432142</v>
      </c>
      <c r="H59" s="330">
        <f t="shared" si="35"/>
        <v>89.635541280030012</v>
      </c>
      <c r="I59" s="330">
        <f t="shared" si="35"/>
        <v>72.562104845738602</v>
      </c>
      <c r="J59" s="330">
        <f t="shared" si="35"/>
        <v>55.488668411447179</v>
      </c>
      <c r="K59" s="330">
        <f t="shared" si="35"/>
        <v>38.415231977155742</v>
      </c>
      <c r="L59" s="330">
        <f t="shared" si="35"/>
        <v>21.341795542864315</v>
      </c>
      <c r="M59" s="330">
        <f t="shared" si="35"/>
        <v>4.2683591085728905</v>
      </c>
    </row>
    <row r="60" spans="2:13" x14ac:dyDescent="0.25">
      <c r="B60" s="329" t="s">
        <v>508</v>
      </c>
      <c r="C60" s="327"/>
      <c r="D60" s="327"/>
      <c r="E60" s="327"/>
      <c r="F60" s="327"/>
      <c r="G60" s="327"/>
      <c r="H60" s="327"/>
      <c r="I60" s="327"/>
      <c r="J60" s="327"/>
      <c r="K60" s="327"/>
      <c r="L60" s="327"/>
      <c r="M60" s="327"/>
    </row>
    <row r="61" spans="2:13" x14ac:dyDescent="0.25">
      <c r="B61" s="329" t="s">
        <v>234</v>
      </c>
      <c r="C61" s="330">
        <f>C59*$C$6/12</f>
        <v>0.12332688007749777</v>
      </c>
      <c r="D61" s="330">
        <f t="shared" ref="D61:M61" si="36">D59*$C$6/12</f>
        <v>1.365874914743314</v>
      </c>
      <c r="E61" s="330">
        <f t="shared" si="36"/>
        <v>1.365874914743314</v>
      </c>
      <c r="F61" s="330">
        <f t="shared" si="36"/>
        <v>1.2378241414861282</v>
      </c>
      <c r="G61" s="330">
        <f t="shared" si="36"/>
        <v>1.0670897771432142</v>
      </c>
      <c r="H61" s="330">
        <f t="shared" si="36"/>
        <v>0.89635541280030007</v>
      </c>
      <c r="I61" s="330">
        <f t="shared" si="36"/>
        <v>0.72562104845738595</v>
      </c>
      <c r="J61" s="330">
        <f t="shared" si="36"/>
        <v>0.55488668411447184</v>
      </c>
      <c r="K61" s="330">
        <f t="shared" si="36"/>
        <v>0.38415231977155745</v>
      </c>
      <c r="L61" s="330">
        <f t="shared" si="36"/>
        <v>0.21341795542864314</v>
      </c>
      <c r="M61" s="330">
        <f t="shared" si="36"/>
        <v>4.268359108572891E-2</v>
      </c>
    </row>
    <row r="62" spans="2:13" ht="15.75" thickBot="1" x14ac:dyDescent="0.3">
      <c r="B62" s="332" t="s">
        <v>483</v>
      </c>
      <c r="C62" s="323">
        <f>C59-C60</f>
        <v>12.332688007749779</v>
      </c>
      <c r="D62" s="323">
        <f t="shared" ref="D62:M62" si="37">D59-D60</f>
        <v>136.58749147433142</v>
      </c>
      <c r="E62" s="323">
        <f t="shared" si="37"/>
        <v>136.58749147433142</v>
      </c>
      <c r="F62" s="323">
        <f t="shared" si="37"/>
        <v>123.78241414861283</v>
      </c>
      <c r="G62" s="323">
        <f t="shared" si="37"/>
        <v>106.70897771432142</v>
      </c>
      <c r="H62" s="323">
        <f t="shared" si="37"/>
        <v>89.635541280030012</v>
      </c>
      <c r="I62" s="323">
        <f t="shared" si="37"/>
        <v>72.562104845738602</v>
      </c>
      <c r="J62" s="323">
        <f t="shared" si="37"/>
        <v>55.488668411447179</v>
      </c>
      <c r="K62" s="323">
        <f t="shared" si="37"/>
        <v>38.415231977155742</v>
      </c>
      <c r="L62" s="323">
        <f t="shared" si="37"/>
        <v>21.341795542864315</v>
      </c>
      <c r="M62" s="323">
        <f t="shared" si="37"/>
        <v>4.2683591085728905</v>
      </c>
    </row>
    <row r="63" spans="2:13" ht="15.75" thickTop="1" x14ac:dyDescent="0.25">
      <c r="B63" s="383" t="s">
        <v>521</v>
      </c>
      <c r="C63" s="343"/>
      <c r="D63" s="343"/>
      <c r="E63" s="343"/>
      <c r="F63" s="343"/>
      <c r="G63" s="343"/>
      <c r="H63" s="343"/>
      <c r="I63" s="343"/>
      <c r="J63" s="343"/>
      <c r="K63" s="343"/>
      <c r="L63" s="343"/>
      <c r="M63" s="343"/>
    </row>
    <row r="64" spans="2:13" x14ac:dyDescent="0.25">
      <c r="B64" s="326" t="s">
        <v>481</v>
      </c>
      <c r="C64" s="330">
        <f>+C62</f>
        <v>12.332688007749779</v>
      </c>
      <c r="D64" s="330">
        <f t="shared" ref="D64:M64" si="38">+D62</f>
        <v>136.58749147433142</v>
      </c>
      <c r="E64" s="330">
        <f t="shared" si="38"/>
        <v>136.58749147433142</v>
      </c>
      <c r="F64" s="330">
        <f t="shared" si="38"/>
        <v>123.78241414861283</v>
      </c>
      <c r="G64" s="330">
        <f t="shared" si="38"/>
        <v>106.70897771432142</v>
      </c>
      <c r="H64" s="330">
        <f t="shared" si="38"/>
        <v>89.635541280030012</v>
      </c>
      <c r="I64" s="330">
        <f t="shared" si="38"/>
        <v>72.562104845738602</v>
      </c>
      <c r="J64" s="330">
        <f t="shared" si="38"/>
        <v>55.488668411447179</v>
      </c>
      <c r="K64" s="330">
        <f t="shared" si="38"/>
        <v>38.415231977155742</v>
      </c>
      <c r="L64" s="330">
        <f t="shared" si="38"/>
        <v>21.341795542864315</v>
      </c>
      <c r="M64" s="330">
        <f t="shared" si="38"/>
        <v>4.2683591085728905</v>
      </c>
    </row>
    <row r="65" spans="2:13" x14ac:dyDescent="0.25">
      <c r="B65" s="329" t="s">
        <v>508</v>
      </c>
      <c r="C65" s="327"/>
      <c r="D65" s="327"/>
      <c r="E65" s="327"/>
      <c r="F65" s="330">
        <f>F50</f>
        <v>4.2683591085728567</v>
      </c>
      <c r="G65" s="330">
        <f>F65</f>
        <v>4.2683591085728567</v>
      </c>
      <c r="H65" s="330">
        <f t="shared" ref="H65:M65" si="39">G65</f>
        <v>4.2683591085728567</v>
      </c>
      <c r="I65" s="330">
        <f t="shared" si="39"/>
        <v>4.2683591085728567</v>
      </c>
      <c r="J65" s="330">
        <f t="shared" si="39"/>
        <v>4.2683591085728567</v>
      </c>
      <c r="K65" s="330">
        <f t="shared" si="39"/>
        <v>4.2683591085728567</v>
      </c>
      <c r="L65" s="330">
        <f t="shared" si="39"/>
        <v>4.2683591085728567</v>
      </c>
      <c r="M65" s="330">
        <f t="shared" si="39"/>
        <v>4.2683591085728567</v>
      </c>
    </row>
    <row r="66" spans="2:13" x14ac:dyDescent="0.25">
      <c r="B66" s="329" t="s">
        <v>234</v>
      </c>
      <c r="C66" s="330">
        <f>C64*$C$6/12</f>
        <v>0.12332688007749777</v>
      </c>
      <c r="D66" s="330">
        <f t="shared" ref="D66:M66" si="40">D64*$C$6/12</f>
        <v>1.365874914743314</v>
      </c>
      <c r="E66" s="330">
        <f t="shared" si="40"/>
        <v>1.365874914743314</v>
      </c>
      <c r="F66" s="330">
        <f t="shared" si="40"/>
        <v>1.2378241414861282</v>
      </c>
      <c r="G66" s="330">
        <f t="shared" si="40"/>
        <v>1.0670897771432142</v>
      </c>
      <c r="H66" s="330">
        <f t="shared" si="40"/>
        <v>0.89635541280030007</v>
      </c>
      <c r="I66" s="330">
        <f t="shared" si="40"/>
        <v>0.72562104845738595</v>
      </c>
      <c r="J66" s="330">
        <f t="shared" si="40"/>
        <v>0.55488668411447184</v>
      </c>
      <c r="K66" s="330">
        <f t="shared" si="40"/>
        <v>0.38415231977155745</v>
      </c>
      <c r="L66" s="330">
        <f t="shared" si="40"/>
        <v>0.21341795542864314</v>
      </c>
      <c r="M66" s="330">
        <f t="shared" si="40"/>
        <v>4.268359108572891E-2</v>
      </c>
    </row>
    <row r="67" spans="2:13" ht="15.75" thickBot="1" x14ac:dyDescent="0.3">
      <c r="B67" s="332" t="s">
        <v>483</v>
      </c>
      <c r="C67" s="323">
        <f>C64-C65</f>
        <v>12.332688007749779</v>
      </c>
      <c r="D67" s="323">
        <f t="shared" ref="D67:L67" si="41">D64-D65</f>
        <v>136.58749147433142</v>
      </c>
      <c r="E67" s="323">
        <f t="shared" si="41"/>
        <v>136.58749147433142</v>
      </c>
      <c r="F67" s="323">
        <f t="shared" si="41"/>
        <v>119.51405504003998</v>
      </c>
      <c r="G67" s="323">
        <f t="shared" si="41"/>
        <v>102.44061860574857</v>
      </c>
      <c r="H67" s="323">
        <f t="shared" si="41"/>
        <v>85.367182171457159</v>
      </c>
      <c r="I67" s="323">
        <f t="shared" si="41"/>
        <v>68.29374573716575</v>
      </c>
      <c r="J67" s="323">
        <f t="shared" si="41"/>
        <v>51.22030930287432</v>
      </c>
      <c r="K67" s="323">
        <f t="shared" si="41"/>
        <v>34.146872868582882</v>
      </c>
      <c r="L67" s="323">
        <f t="shared" si="41"/>
        <v>17.073436434291459</v>
      </c>
      <c r="M67" s="323">
        <f>M64-M65</f>
        <v>3.3750779948604759E-14</v>
      </c>
    </row>
    <row r="68" spans="2:13" ht="15.75" thickTop="1" x14ac:dyDescent="0.25"/>
    <row r="69" spans="2:13" x14ac:dyDescent="0.25">
      <c r="B69" s="247" t="s">
        <v>522</v>
      </c>
      <c r="C69" s="322">
        <f>+C11+C16+C21+C26+C31+C36+C41+C46+C51+C56+C61+C66</f>
        <v>0.54502176189898421</v>
      </c>
      <c r="D69" s="322">
        <f>+D11+D16+D21+D26+D31+D36+D41+D46+D51+D56+D61+D66</f>
        <v>10.388203538298011</v>
      </c>
      <c r="E69" s="322">
        <f t="shared" ref="E69:M69" si="42">+E11+E16+E21+E26+E31+E36+E41+E46+E51+E56+E61+E66</f>
        <v>16.390498976919769</v>
      </c>
      <c r="F69" s="322">
        <f t="shared" si="42"/>
        <v>15.622194337376653</v>
      </c>
      <c r="G69" s="322">
        <f t="shared" si="42"/>
        <v>13.573381965261687</v>
      </c>
      <c r="H69" s="322">
        <f t="shared" si="42"/>
        <v>11.524569593146714</v>
      </c>
      <c r="I69" s="322">
        <f t="shared" si="42"/>
        <v>9.4757572210317438</v>
      </c>
      <c r="J69" s="322">
        <f t="shared" si="42"/>
        <v>7.4269448489167749</v>
      </c>
      <c r="K69" s="322">
        <f t="shared" si="42"/>
        <v>5.3781324768018033</v>
      </c>
      <c r="L69" s="322">
        <f t="shared" si="42"/>
        <v>3.3293201046868317</v>
      </c>
      <c r="M69" s="322">
        <f t="shared" si="42"/>
        <v>1.2805077325718608</v>
      </c>
    </row>
    <row r="70" spans="2:13" x14ac:dyDescent="0.25">
      <c r="B70" s="247" t="s">
        <v>523</v>
      </c>
      <c r="C70" s="322">
        <f>+C10+C15+C20+C25+C30+C35+C40+C45+C50+C55+C60+C65</f>
        <v>0</v>
      </c>
      <c r="D70" s="322">
        <f t="shared" ref="D70:M70" si="43">+D10+D15+D20+D25+D30+D35+D40+D45+D50+D55+D60+D65</f>
        <v>0</v>
      </c>
      <c r="E70" s="322">
        <f t="shared" si="43"/>
        <v>0</v>
      </c>
      <c r="F70" s="322">
        <f t="shared" si="43"/>
        <v>17.073436434291427</v>
      </c>
      <c r="G70" s="322">
        <f t="shared" si="43"/>
        <v>17.073436434291427</v>
      </c>
      <c r="H70" s="322">
        <f t="shared" si="43"/>
        <v>17.073436434291427</v>
      </c>
      <c r="I70" s="322">
        <f t="shared" si="43"/>
        <v>17.073436434291427</v>
      </c>
      <c r="J70" s="322">
        <f t="shared" si="43"/>
        <v>17.073436434291427</v>
      </c>
      <c r="K70" s="322">
        <f t="shared" si="43"/>
        <v>17.073436434291427</v>
      </c>
      <c r="L70" s="322">
        <f t="shared" si="43"/>
        <v>17.073436434291427</v>
      </c>
      <c r="M70" s="322">
        <f t="shared" si="43"/>
        <v>17.073436434291427</v>
      </c>
    </row>
    <row r="71" spans="2:13" x14ac:dyDescent="0.25">
      <c r="B71" s="247" t="s">
        <v>526</v>
      </c>
      <c r="C71" s="322">
        <f>C70</f>
        <v>0</v>
      </c>
      <c r="D71" s="322">
        <f>C71+D70</f>
        <v>0</v>
      </c>
      <c r="E71" s="322">
        <f t="shared" ref="E71:L71" si="44">D71+E70</f>
        <v>0</v>
      </c>
      <c r="F71" s="322">
        <f t="shared" si="44"/>
        <v>17.073436434291427</v>
      </c>
      <c r="G71" s="322">
        <f t="shared" si="44"/>
        <v>34.146872868582854</v>
      </c>
      <c r="H71" s="322">
        <f t="shared" si="44"/>
        <v>51.220309302874284</v>
      </c>
      <c r="I71" s="322">
        <f t="shared" si="44"/>
        <v>68.293745737165708</v>
      </c>
      <c r="J71" s="322">
        <f t="shared" si="44"/>
        <v>85.367182171457131</v>
      </c>
      <c r="K71" s="322">
        <f t="shared" si="44"/>
        <v>102.44061860574855</v>
      </c>
      <c r="L71" s="322">
        <f t="shared" si="44"/>
        <v>119.51405504003998</v>
      </c>
      <c r="M71" s="322">
        <f>L71+M70</f>
        <v>136.58749147433142</v>
      </c>
    </row>
    <row r="73" spans="2:13" x14ac:dyDescent="0.25">
      <c r="B73" s="388" t="s">
        <v>524</v>
      </c>
      <c r="D73" s="248">
        <f>+C69+D69</f>
        <v>10.933225300196996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F21"/>
  <sheetViews>
    <sheetView zoomScale="130" zoomScaleNormal="130" workbookViewId="0">
      <selection activeCell="C14" sqref="C14"/>
    </sheetView>
  </sheetViews>
  <sheetFormatPr defaultRowHeight="15" x14ac:dyDescent="0.25"/>
  <cols>
    <col min="2" max="2" width="38.5703125" customWidth="1"/>
    <col min="3" max="6" width="12.85546875" customWidth="1"/>
  </cols>
  <sheetData>
    <row r="1" spans="1:6" ht="15.75" thickBot="1" x14ac:dyDescent="0.3"/>
    <row r="2" spans="1:6" x14ac:dyDescent="0.25">
      <c r="B2" s="268" t="s">
        <v>383</v>
      </c>
      <c r="C2" s="269"/>
      <c r="D2" s="269"/>
      <c r="E2" s="269"/>
      <c r="F2" s="270"/>
    </row>
    <row r="3" spans="1:6" ht="15.75" thickBot="1" x14ac:dyDescent="0.3">
      <c r="B3" s="271" t="s">
        <v>389</v>
      </c>
      <c r="C3" s="272"/>
      <c r="D3" s="272"/>
      <c r="E3" s="272"/>
      <c r="F3" s="273"/>
    </row>
    <row r="4" spans="1:6" ht="15.75" thickBot="1" x14ac:dyDescent="0.3"/>
    <row r="5" spans="1:6" x14ac:dyDescent="0.25">
      <c r="A5" s="253" t="s">
        <v>384</v>
      </c>
      <c r="B5" s="274" t="s">
        <v>385</v>
      </c>
      <c r="C5" s="275" t="s">
        <v>5</v>
      </c>
      <c r="D5" s="275" t="s">
        <v>402</v>
      </c>
      <c r="E5" s="275" t="s">
        <v>403</v>
      </c>
      <c r="F5" s="276" t="s">
        <v>397</v>
      </c>
    </row>
    <row r="6" spans="1:6" x14ac:dyDescent="0.25">
      <c r="B6" s="277" t="s">
        <v>388</v>
      </c>
      <c r="C6" s="260">
        <f>+'Site Dev'!D16/100</f>
        <v>8</v>
      </c>
      <c r="D6" s="256"/>
      <c r="E6" s="256"/>
      <c r="F6" s="278">
        <f>SUM(C6:E6)</f>
        <v>8</v>
      </c>
    </row>
    <row r="7" spans="1:6" x14ac:dyDescent="0.25">
      <c r="B7" s="277" t="s">
        <v>390</v>
      </c>
      <c r="C7" s="256">
        <f>+Civil!H22</f>
        <v>10.16</v>
      </c>
      <c r="D7" s="260">
        <f>$C$10*C7/($C$7+$C$8+$C$9)</f>
        <v>0.78932805816885709</v>
      </c>
      <c r="E7" s="260">
        <f>$C$11*C7/($C$7+$C$8+$C$9)</f>
        <v>0.32006972825219099</v>
      </c>
      <c r="F7" s="278">
        <f t="shared" ref="F7:F12" si="0">SUM(C7:E7)</f>
        <v>11.269397786421049</v>
      </c>
    </row>
    <row r="8" spans="1:6" x14ac:dyDescent="0.25">
      <c r="B8" s="277" t="s">
        <v>59</v>
      </c>
      <c r="C8" s="260">
        <f>+'P&amp;M'!F42/100</f>
        <v>149.02850000000001</v>
      </c>
      <c r="D8" s="260">
        <f t="shared" ref="D8:D9" si="1">$C$10*C8/($C$7+$C$8+$C$9)</f>
        <v>11.577989814647394</v>
      </c>
      <c r="E8" s="260">
        <f t="shared" ref="E8:E9" si="2">$C$11*C8/($C$7+$C$8+$C$9)</f>
        <v>4.6948338087432724</v>
      </c>
      <c r="F8" s="278">
        <f t="shared" si="0"/>
        <v>165.30132362339069</v>
      </c>
    </row>
    <row r="9" spans="1:6" x14ac:dyDescent="0.25">
      <c r="B9" s="277" t="s">
        <v>392</v>
      </c>
      <c r="C9" s="260">
        <v>0.5</v>
      </c>
      <c r="D9" s="260">
        <f t="shared" si="1"/>
        <v>3.8844884752404385E-2</v>
      </c>
      <c r="E9" s="260">
        <f t="shared" si="2"/>
        <v>1.5751463004536958E-2</v>
      </c>
      <c r="F9" s="278">
        <f t="shared" si="0"/>
        <v>0.55459634775694133</v>
      </c>
    </row>
    <row r="10" spans="1:6" x14ac:dyDescent="0.25">
      <c r="B10" s="277" t="s">
        <v>391</v>
      </c>
      <c r="C10" s="266">
        <f>+'Pre-operative'!D16</f>
        <v>12.406162757568655</v>
      </c>
      <c r="D10" s="267">
        <f>-SUM(D7:D9)</f>
        <v>-12.406162757568655</v>
      </c>
      <c r="E10" s="256"/>
      <c r="F10" s="278">
        <f t="shared" si="0"/>
        <v>0</v>
      </c>
    </row>
    <row r="11" spans="1:6" x14ac:dyDescent="0.25">
      <c r="B11" s="277" t="s">
        <v>393</v>
      </c>
      <c r="C11" s="260">
        <f>SUM(C6:C9)*3%</f>
        <v>5.0306550000000003</v>
      </c>
      <c r="D11" s="256"/>
      <c r="E11" s="267">
        <f>-SUM(E7:E9)</f>
        <v>-5.0306550000000003</v>
      </c>
      <c r="F11" s="278">
        <f t="shared" si="0"/>
        <v>0</v>
      </c>
    </row>
    <row r="12" spans="1:6" x14ac:dyDescent="0.25">
      <c r="B12" s="277" t="s">
        <v>394</v>
      </c>
      <c r="C12" s="260">
        <f>+WC!D28</f>
        <v>25.009397670809673</v>
      </c>
      <c r="D12" s="256"/>
      <c r="E12" s="256"/>
      <c r="F12" s="278">
        <f t="shared" si="0"/>
        <v>25.009397670809673</v>
      </c>
    </row>
    <row r="13" spans="1:6" ht="15.75" thickBot="1" x14ac:dyDescent="0.3">
      <c r="B13" s="279" t="s">
        <v>395</v>
      </c>
      <c r="C13" s="280">
        <f>SUM(C6:C12)</f>
        <v>210.13471542837834</v>
      </c>
      <c r="D13" s="280">
        <f t="shared" ref="D13:F13" si="3">SUM(D6:D12)</f>
        <v>0</v>
      </c>
      <c r="E13" s="280">
        <f t="shared" si="3"/>
        <v>0</v>
      </c>
      <c r="F13" s="281">
        <f t="shared" si="3"/>
        <v>210.13471542837834</v>
      </c>
    </row>
    <row r="14" spans="1:6" ht="15.75" thickBot="1" x14ac:dyDescent="0.3"/>
    <row r="15" spans="1:6" x14ac:dyDescent="0.25">
      <c r="A15" s="253" t="s">
        <v>386</v>
      </c>
      <c r="B15" s="282" t="s">
        <v>387</v>
      </c>
      <c r="C15" s="275"/>
      <c r="D15" s="275"/>
      <c r="E15" s="275"/>
      <c r="F15" s="276" t="s">
        <v>5</v>
      </c>
    </row>
    <row r="16" spans="1:6" x14ac:dyDescent="0.25">
      <c r="B16" s="283" t="s">
        <v>18</v>
      </c>
      <c r="C16" s="256"/>
      <c r="D16" s="256"/>
      <c r="E16" s="256"/>
      <c r="F16" s="278">
        <f>+IDC!J29</f>
        <v>136.58749147433142</v>
      </c>
    </row>
    <row r="17" spans="2:6" x14ac:dyDescent="0.25">
      <c r="B17" s="283" t="s">
        <v>399</v>
      </c>
      <c r="C17" s="256"/>
      <c r="D17" s="256"/>
      <c r="E17" s="256"/>
      <c r="F17" s="278">
        <f>+IDC!J30</f>
        <v>73.547110793870758</v>
      </c>
    </row>
    <row r="18" spans="2:6" ht="15.75" thickBot="1" x14ac:dyDescent="0.3">
      <c r="B18" s="284" t="s">
        <v>395</v>
      </c>
      <c r="C18" s="285"/>
      <c r="D18" s="285"/>
      <c r="E18" s="285"/>
      <c r="F18" s="281">
        <f>SUM(F16:F17)</f>
        <v>210.13460226820217</v>
      </c>
    </row>
    <row r="20" spans="2:6" x14ac:dyDescent="0.25">
      <c r="B20" t="s">
        <v>19</v>
      </c>
      <c r="C20" s="248">
        <f>+IDC!C33</f>
        <v>1.8571428571428574</v>
      </c>
    </row>
    <row r="21" spans="2:6" x14ac:dyDescent="0.25">
      <c r="B21" t="s">
        <v>404</v>
      </c>
      <c r="C21" s="252">
        <f>F17/F18</f>
        <v>0.35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B2:AP97"/>
  <sheetViews>
    <sheetView zoomScale="110" zoomScaleNormal="110" workbookViewId="0">
      <pane xSplit="5" ySplit="8" topLeftCell="F48" activePane="bottomRight" state="frozen"/>
      <selection activeCell="F16" sqref="F16"/>
      <selection pane="topRight" activeCell="F16" sqref="F16"/>
      <selection pane="bottomLeft" activeCell="F16" sqref="F16"/>
      <selection pane="bottomRight" activeCell="H56" sqref="H56"/>
    </sheetView>
  </sheetViews>
  <sheetFormatPr defaultColWidth="9.140625" defaultRowHeight="15" x14ac:dyDescent="0.25"/>
  <cols>
    <col min="1" max="1" width="1.85546875" style="74" customWidth="1"/>
    <col min="2" max="2" width="3.140625" style="169" customWidth="1"/>
    <col min="3" max="3" width="3.85546875" style="169" bestFit="1" customWidth="1"/>
    <col min="4" max="4" width="2.5703125" style="74" customWidth="1"/>
    <col min="5" max="5" width="27.140625" style="74" customWidth="1"/>
    <col min="6" max="7" width="8" style="74" bestFit="1" customWidth="1"/>
    <col min="8" max="8" width="8" style="73" bestFit="1" customWidth="1"/>
    <col min="9" max="9" width="8.140625" style="73" bestFit="1" customWidth="1"/>
    <col min="10" max="10" width="8" style="73" bestFit="1" customWidth="1"/>
    <col min="11" max="11" width="8.140625" style="73" bestFit="1" customWidth="1"/>
    <col min="12" max="12" width="8" style="73" bestFit="1" customWidth="1"/>
    <col min="13" max="13" width="8.42578125" style="73" bestFit="1" customWidth="1"/>
    <col min="14" max="14" width="8" style="73" bestFit="1" customWidth="1"/>
    <col min="15" max="15" width="1.42578125" style="73" customWidth="1"/>
    <col min="16" max="16" width="2.140625" style="73" customWidth="1"/>
    <col min="17" max="17" width="9.140625" style="73"/>
    <col min="18" max="18" width="7.42578125" style="73" customWidth="1"/>
    <col min="19" max="19" width="11.42578125" style="73" bestFit="1" customWidth="1"/>
    <col min="20" max="20" width="18.42578125" style="73" bestFit="1" customWidth="1"/>
    <col min="21" max="26" width="7.42578125" style="73" bestFit="1" customWidth="1"/>
    <col min="27" max="27" width="7.85546875" style="73" bestFit="1" customWidth="1"/>
    <col min="28" max="29" width="4.85546875" style="73" bestFit="1" customWidth="1"/>
    <col min="30" max="30" width="6" style="73" bestFit="1" customWidth="1"/>
    <col min="31" max="31" width="8.85546875" style="73" customWidth="1"/>
    <col min="32" max="42" width="9.140625" style="73"/>
    <col min="43" max="16384" width="9.140625" style="74"/>
  </cols>
  <sheetData>
    <row r="2" spans="2:42" ht="7.5" customHeight="1" thickBot="1" x14ac:dyDescent="0.3">
      <c r="B2" s="72"/>
      <c r="C2" s="72"/>
      <c r="D2" s="73"/>
      <c r="E2" s="73"/>
      <c r="F2" s="73"/>
      <c r="G2" s="73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</row>
    <row r="3" spans="2:42" ht="15" customHeight="1" x14ac:dyDescent="0.25">
      <c r="B3" s="75" t="s">
        <v>183</v>
      </c>
      <c r="C3" s="76"/>
      <c r="D3" s="77"/>
      <c r="E3" s="77"/>
      <c r="F3" s="77"/>
      <c r="G3" s="77"/>
      <c r="H3" s="78"/>
      <c r="I3" s="78"/>
      <c r="J3" s="78"/>
      <c r="K3" s="77"/>
      <c r="L3" s="77"/>
      <c r="M3" s="77"/>
      <c r="N3" s="77"/>
      <c r="O3" s="79"/>
      <c r="S3" s="80"/>
      <c r="X3" s="72"/>
      <c r="Y3" s="81"/>
      <c r="Z3" s="82"/>
      <c r="AA3" s="82"/>
      <c r="AB3" s="82"/>
      <c r="AC3" s="82"/>
      <c r="AD3" s="82"/>
      <c r="AE3" s="82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</row>
    <row r="4" spans="2:42" ht="15" customHeight="1" x14ac:dyDescent="0.25">
      <c r="B4" s="83" t="s">
        <v>184</v>
      </c>
      <c r="C4" s="84"/>
      <c r="D4" s="85"/>
      <c r="E4" s="85" t="str">
        <f>Company_Name</f>
        <v>SOME RANDOM COMPANY LTD.</v>
      </c>
      <c r="F4" s="85"/>
      <c r="G4" s="85"/>
      <c r="H4" s="86"/>
      <c r="I4" s="86"/>
      <c r="J4" s="86"/>
      <c r="O4" s="87"/>
      <c r="S4" s="88"/>
      <c r="X4" s="72"/>
      <c r="Y4" s="81"/>
      <c r="Z4" s="82"/>
      <c r="AA4" s="82"/>
      <c r="AB4" s="82"/>
      <c r="AC4" s="82"/>
      <c r="AD4" s="82"/>
      <c r="AE4" s="82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</row>
    <row r="5" spans="2:42" ht="15" customHeight="1" thickBot="1" x14ac:dyDescent="0.3">
      <c r="B5" s="89"/>
      <c r="C5" s="90"/>
      <c r="D5" s="91"/>
      <c r="E5" s="91"/>
      <c r="F5" s="91"/>
      <c r="G5" s="91"/>
      <c r="H5" s="91"/>
      <c r="J5" s="92"/>
      <c r="K5" s="91"/>
      <c r="L5" s="91"/>
      <c r="M5" s="91"/>
      <c r="N5" s="91"/>
      <c r="O5" s="93"/>
      <c r="X5" s="72"/>
      <c r="Y5" s="81"/>
      <c r="Z5" s="82"/>
      <c r="AA5" s="82"/>
      <c r="AB5" s="82"/>
      <c r="AC5" s="82"/>
      <c r="AD5" s="82"/>
      <c r="AE5" s="82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</row>
    <row r="6" spans="2:42" ht="15" customHeight="1" x14ac:dyDescent="0.25">
      <c r="B6" s="94" t="s">
        <v>185</v>
      </c>
      <c r="C6" s="95"/>
      <c r="D6" s="96" t="s">
        <v>186</v>
      </c>
      <c r="E6" s="96"/>
      <c r="F6" s="97" t="str">
        <f>'[1]Prodn &amp; Sales'!C4</f>
        <v>(Proj.)</v>
      </c>
      <c r="G6" s="97" t="str">
        <f>'[1]Prodn &amp; Sales'!D4</f>
        <v>(Proj.)</v>
      </c>
      <c r="H6" s="97" t="str">
        <f>'[1]Prodn &amp; Sales'!E4</f>
        <v>(Proj.)</v>
      </c>
      <c r="I6" s="97" t="str">
        <f>'[1]Prodn &amp; Sales'!F4</f>
        <v>(Proj.)</v>
      </c>
      <c r="J6" s="97" t="str">
        <f>'[1]Prodn &amp; Sales'!G4</f>
        <v>(Proj.)</v>
      </c>
      <c r="K6" s="97" t="str">
        <f>'[1]Prodn &amp; Sales'!H4</f>
        <v>(Proj.)</v>
      </c>
      <c r="L6" s="97" t="str">
        <f>'[1]Prodn &amp; Sales'!I4</f>
        <v>(Proj.)</v>
      </c>
      <c r="M6" s="97" t="str">
        <f>'[1]Prodn &amp; Sales'!J4</f>
        <v>(Proj.)</v>
      </c>
      <c r="N6" s="97" t="str">
        <f>'[1]Prodn &amp; Sales'!K4</f>
        <v>(Proj.)</v>
      </c>
      <c r="O6" s="98"/>
      <c r="P6" s="99"/>
      <c r="Q6" s="99"/>
      <c r="R6" s="99"/>
      <c r="S6" s="99"/>
      <c r="T6" s="99"/>
      <c r="U6" s="100"/>
      <c r="X6" s="72"/>
      <c r="Y6" s="81"/>
      <c r="Z6" s="82"/>
      <c r="AA6" s="82"/>
      <c r="AB6" s="82"/>
      <c r="AC6" s="82"/>
      <c r="AD6" s="82"/>
      <c r="AE6" s="82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74"/>
    </row>
    <row r="7" spans="2:42" ht="15" customHeight="1" x14ac:dyDescent="0.25">
      <c r="B7" s="101" t="s">
        <v>187</v>
      </c>
      <c r="C7" s="102"/>
      <c r="D7" s="103"/>
      <c r="E7" s="103"/>
      <c r="F7" s="104">
        <f>'[1]Prodn &amp; Sales'!C3</f>
        <v>2023</v>
      </c>
      <c r="G7" s="104">
        <f>'[1]Prodn &amp; Sales'!D3</f>
        <v>2024</v>
      </c>
      <c r="H7" s="104">
        <f>'[1]Prodn &amp; Sales'!E3</f>
        <v>2025</v>
      </c>
      <c r="I7" s="104">
        <f>'[1]Prodn &amp; Sales'!F3</f>
        <v>2026</v>
      </c>
      <c r="J7" s="104">
        <f>'[1]Prodn &amp; Sales'!G3</f>
        <v>2027</v>
      </c>
      <c r="K7" s="104">
        <f>'[1]Prodn &amp; Sales'!H3</f>
        <v>2028</v>
      </c>
      <c r="L7" s="104">
        <f>'[1]Prodn &amp; Sales'!I3</f>
        <v>2029</v>
      </c>
      <c r="M7" s="104">
        <f>'[1]Prodn &amp; Sales'!J3</f>
        <v>2030</v>
      </c>
      <c r="N7" s="104">
        <f>'[1]Prodn &amp; Sales'!K3</f>
        <v>2031</v>
      </c>
      <c r="O7" s="105"/>
      <c r="P7" s="99"/>
      <c r="Q7" s="99"/>
      <c r="R7" s="99"/>
      <c r="S7" s="99"/>
      <c r="T7" s="99"/>
      <c r="X7" s="72"/>
      <c r="Y7" s="81"/>
      <c r="Z7" s="82"/>
      <c r="AA7" s="82"/>
      <c r="AB7" s="82"/>
      <c r="AC7" s="82"/>
      <c r="AD7" s="82"/>
      <c r="AE7" s="82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</row>
    <row r="8" spans="2:42" ht="15" customHeight="1" thickBot="1" x14ac:dyDescent="0.3">
      <c r="B8" s="106"/>
      <c r="C8" s="90"/>
      <c r="D8" s="91"/>
      <c r="E8" s="91"/>
      <c r="F8" s="107">
        <f>'[1]Prodn &amp; Sales'!C5</f>
        <v>12</v>
      </c>
      <c r="G8" s="107">
        <f>'[1]Prodn &amp; Sales'!D5</f>
        <v>12</v>
      </c>
      <c r="H8" s="107">
        <f>'[1]Prodn &amp; Sales'!E5</f>
        <v>12</v>
      </c>
      <c r="I8" s="107">
        <f>'[1]Prodn &amp; Sales'!F5</f>
        <v>12</v>
      </c>
      <c r="J8" s="107">
        <f>'[1]Prodn &amp; Sales'!G5</f>
        <v>12</v>
      </c>
      <c r="K8" s="107">
        <f>'[1]Prodn &amp; Sales'!H5</f>
        <v>12</v>
      </c>
      <c r="L8" s="107">
        <f>'[1]Prodn &amp; Sales'!I5</f>
        <v>12</v>
      </c>
      <c r="M8" s="107">
        <f>'[1]Prodn &amp; Sales'!J5</f>
        <v>12</v>
      </c>
      <c r="N8" s="107">
        <f>'[1]Prodn &amp; Sales'!K5</f>
        <v>12</v>
      </c>
      <c r="O8" s="108"/>
      <c r="P8" s="86"/>
      <c r="Q8" s="86"/>
      <c r="R8" s="86"/>
      <c r="S8" s="86"/>
      <c r="T8" s="86"/>
      <c r="X8" s="72"/>
      <c r="Y8" s="81"/>
      <c r="Z8" s="82"/>
      <c r="AA8" s="82"/>
      <c r="AB8" s="82"/>
      <c r="AC8" s="82"/>
      <c r="AD8" s="82"/>
      <c r="AE8" s="82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</row>
    <row r="9" spans="2:42" ht="15" customHeight="1" x14ac:dyDescent="0.25">
      <c r="B9" s="109"/>
      <c r="C9" s="72"/>
      <c r="D9" s="73"/>
      <c r="E9" s="73"/>
      <c r="F9" s="73"/>
      <c r="G9" s="73"/>
      <c r="H9" s="86"/>
      <c r="I9" s="86"/>
      <c r="J9" s="86"/>
      <c r="K9" s="86"/>
      <c r="L9" s="86"/>
      <c r="M9" s="86"/>
      <c r="N9" s="86"/>
      <c r="O9" s="110"/>
      <c r="P9" s="86"/>
      <c r="Q9" s="86"/>
      <c r="R9" s="86"/>
      <c r="S9" s="86"/>
      <c r="T9" s="86"/>
      <c r="U9" s="86"/>
      <c r="V9" s="86"/>
      <c r="X9" s="72"/>
      <c r="Y9" s="81"/>
      <c r="Z9" s="82"/>
      <c r="AA9" s="82"/>
      <c r="AB9" s="82"/>
      <c r="AC9" s="82"/>
      <c r="AD9" s="82"/>
      <c r="AE9" s="82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</row>
    <row r="10" spans="2:42" ht="15" customHeight="1" x14ac:dyDescent="0.25">
      <c r="B10" s="101">
        <v>1</v>
      </c>
      <c r="C10" s="84"/>
      <c r="D10" s="85" t="s">
        <v>424</v>
      </c>
      <c r="E10" s="85"/>
      <c r="F10" s="85"/>
      <c r="G10" s="85"/>
      <c r="H10" s="86"/>
      <c r="I10" s="86"/>
      <c r="J10" s="86"/>
      <c r="K10" s="86"/>
      <c r="L10" s="86"/>
      <c r="M10" s="86"/>
      <c r="N10" s="86"/>
      <c r="O10" s="110"/>
      <c r="P10" s="86"/>
      <c r="Q10" s="86"/>
      <c r="R10" s="86"/>
      <c r="S10" s="86"/>
      <c r="T10" s="86"/>
      <c r="X10" s="72"/>
      <c r="Y10" s="81"/>
      <c r="Z10" s="82"/>
      <c r="AA10" s="82"/>
      <c r="AB10" s="82"/>
      <c r="AC10" s="82"/>
      <c r="AD10" s="82"/>
      <c r="AE10" s="82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</row>
    <row r="11" spans="2:42" ht="15" customHeight="1" x14ac:dyDescent="0.25">
      <c r="B11" s="101"/>
      <c r="C11" s="84" t="s">
        <v>188</v>
      </c>
      <c r="D11" s="85" t="s">
        <v>189</v>
      </c>
      <c r="E11" s="73"/>
      <c r="F11" s="73"/>
      <c r="G11" s="73"/>
      <c r="H11" s="86"/>
      <c r="I11" s="86"/>
      <c r="J11" s="86"/>
      <c r="K11" s="86"/>
      <c r="L11" s="86"/>
      <c r="M11" s="86"/>
      <c r="N11" s="86"/>
      <c r="O11" s="110"/>
      <c r="P11" s="86"/>
      <c r="Q11" s="86"/>
      <c r="R11" s="86"/>
      <c r="S11" s="86"/>
      <c r="T11" s="86"/>
      <c r="X11" s="72"/>
      <c r="Y11" s="81"/>
      <c r="Z11" s="82"/>
      <c r="AA11" s="82"/>
      <c r="AB11" s="82"/>
      <c r="AC11" s="82"/>
      <c r="AD11" s="82"/>
      <c r="AE11" s="82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</row>
    <row r="12" spans="2:42" ht="15" customHeight="1" x14ac:dyDescent="0.25">
      <c r="B12" s="101"/>
      <c r="C12" s="72" t="s">
        <v>190</v>
      </c>
      <c r="D12" s="85" t="s">
        <v>191</v>
      </c>
      <c r="E12" s="85"/>
      <c r="F12" s="99">
        <f>'Revenue Buildup'!D46+'Revenue Buildup'!D54</f>
        <v>1047.8704507211539</v>
      </c>
      <c r="G12" s="99">
        <f>'Revenue Buildup'!E46+'Revenue Buildup'!E54</f>
        <v>1286.5652361778848</v>
      </c>
      <c r="H12" s="99">
        <f>'Revenue Buildup'!F46+'Revenue Buildup'!F54</f>
        <v>1517.7875322791463</v>
      </c>
      <c r="I12" s="99">
        <f>'Revenue Buildup'!G46+'Revenue Buildup'!G54</f>
        <v>1645.6788750252124</v>
      </c>
      <c r="J12" s="99">
        <f>'Revenue Buildup'!H46+'Revenue Buildup'!H54</f>
        <v>1774.592613357589</v>
      </c>
      <c r="K12" s="99">
        <f>'Revenue Buildup'!I46+'Revenue Buildup'!I54</f>
        <v>1906.1494218907783</v>
      </c>
      <c r="L12" s="99">
        <f>'Revenue Buildup'!J46+'Revenue Buildup'!J54</f>
        <v>2040.3974596835874</v>
      </c>
      <c r="M12" s="99">
        <f>'Revenue Buildup'!K46+'Revenue Buildup'!K54</f>
        <v>2177.3856767915754</v>
      </c>
      <c r="N12" s="99">
        <f>'Revenue Buildup'!L46+'Revenue Buildup'!L54</f>
        <v>2202.9159241539992</v>
      </c>
      <c r="O12" s="111"/>
      <c r="P12" s="86"/>
      <c r="Q12" s="86"/>
      <c r="R12" s="86"/>
      <c r="S12" s="86"/>
      <c r="T12" s="86"/>
      <c r="U12" s="112"/>
      <c r="X12" s="72"/>
      <c r="Y12" s="81"/>
      <c r="Z12" s="82"/>
      <c r="AA12" s="82"/>
      <c r="AB12" s="82"/>
      <c r="AC12" s="82"/>
      <c r="AD12" s="82"/>
      <c r="AE12" s="82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</row>
    <row r="13" spans="2:42" ht="15" customHeight="1" x14ac:dyDescent="0.25">
      <c r="B13" s="113"/>
      <c r="C13" s="114" t="s">
        <v>192</v>
      </c>
      <c r="D13" s="115" t="s">
        <v>193</v>
      </c>
      <c r="E13" s="115"/>
      <c r="F13" s="115"/>
      <c r="G13" s="115"/>
      <c r="H13" s="116"/>
      <c r="I13" s="116"/>
      <c r="J13" s="116"/>
      <c r="K13" s="116"/>
      <c r="L13" s="116"/>
      <c r="M13" s="116"/>
      <c r="N13" s="116"/>
      <c r="O13" s="117"/>
      <c r="P13" s="86"/>
      <c r="Q13" s="86"/>
      <c r="R13" s="86"/>
      <c r="S13" s="86"/>
      <c r="T13" s="86"/>
      <c r="U13" s="112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</row>
    <row r="14" spans="2:42" ht="15" customHeight="1" x14ac:dyDescent="0.25">
      <c r="B14" s="101"/>
      <c r="C14" s="72"/>
      <c r="D14" s="73"/>
      <c r="E14" s="73"/>
      <c r="F14" s="99">
        <f t="shared" ref="F14:N14" si="0">F12+F13</f>
        <v>1047.8704507211539</v>
      </c>
      <c r="G14" s="99">
        <f t="shared" si="0"/>
        <v>1286.5652361778848</v>
      </c>
      <c r="H14" s="99">
        <f t="shared" si="0"/>
        <v>1517.7875322791463</v>
      </c>
      <c r="I14" s="99">
        <f t="shared" si="0"/>
        <v>1645.6788750252124</v>
      </c>
      <c r="J14" s="99">
        <f t="shared" si="0"/>
        <v>1774.592613357589</v>
      </c>
      <c r="K14" s="99">
        <f t="shared" si="0"/>
        <v>1906.1494218907783</v>
      </c>
      <c r="L14" s="99">
        <f t="shared" si="0"/>
        <v>2040.3974596835874</v>
      </c>
      <c r="M14" s="99">
        <f t="shared" si="0"/>
        <v>2177.3856767915754</v>
      </c>
      <c r="N14" s="99">
        <f t="shared" si="0"/>
        <v>2202.9159241539992</v>
      </c>
      <c r="O14" s="119"/>
      <c r="P14" s="99"/>
      <c r="Q14" s="99"/>
      <c r="R14" s="99"/>
      <c r="S14" s="99"/>
      <c r="T14" s="99"/>
      <c r="U14" s="112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</row>
    <row r="15" spans="2:42" ht="15" customHeight="1" x14ac:dyDescent="0.25">
      <c r="B15" s="123"/>
      <c r="C15" s="124" t="s">
        <v>46</v>
      </c>
      <c r="D15" s="125" t="s">
        <v>194</v>
      </c>
      <c r="E15" s="125"/>
      <c r="F15" s="126" t="s">
        <v>534</v>
      </c>
      <c r="G15" s="126">
        <f>G14/F14-1</f>
        <v>0.22779035833337891</v>
      </c>
      <c r="H15" s="126">
        <f t="shared" ref="H15:N15" si="1">H14/G14-1</f>
        <v>0.17972061548015583</v>
      </c>
      <c r="I15" s="126">
        <f t="shared" si="1"/>
        <v>8.4261690141848478E-2</v>
      </c>
      <c r="J15" s="126">
        <f t="shared" si="1"/>
        <v>7.8334686243330287E-2</v>
      </c>
      <c r="K15" s="126">
        <f t="shared" si="1"/>
        <v>7.4133526502333069E-2</v>
      </c>
      <c r="L15" s="126">
        <f t="shared" si="1"/>
        <v>7.0428916144277709E-2</v>
      </c>
      <c r="M15" s="126">
        <f t="shared" si="1"/>
        <v>6.7138006106531423E-2</v>
      </c>
      <c r="N15" s="126">
        <f t="shared" si="1"/>
        <v>1.1725183845262999E-2</v>
      </c>
      <c r="O15" s="127"/>
      <c r="P15" s="99"/>
      <c r="Q15" s="99"/>
      <c r="R15" s="99"/>
      <c r="S15" s="80"/>
      <c r="T15" s="80"/>
      <c r="U15" s="112"/>
    </row>
    <row r="16" spans="2:42" ht="15" customHeight="1" x14ac:dyDescent="0.25">
      <c r="B16" s="109"/>
      <c r="C16" s="72" t="s">
        <v>195</v>
      </c>
      <c r="D16" s="73" t="s">
        <v>196</v>
      </c>
      <c r="E16" s="73"/>
      <c r="F16" s="86"/>
      <c r="G16" s="86"/>
      <c r="H16" s="86"/>
      <c r="I16" s="86"/>
      <c r="J16" s="86"/>
      <c r="K16" s="86"/>
      <c r="L16" s="86"/>
      <c r="M16" s="86"/>
      <c r="N16" s="86"/>
      <c r="O16" s="129"/>
      <c r="P16" s="128"/>
      <c r="Q16" s="128"/>
      <c r="R16" s="128"/>
      <c r="S16" s="128"/>
      <c r="T16" s="128"/>
      <c r="U16" s="130"/>
      <c r="V16" s="130"/>
    </row>
    <row r="17" spans="2:42" s="122" customFormat="1" ht="15" customHeight="1" x14ac:dyDescent="0.25">
      <c r="B17" s="113"/>
      <c r="C17" s="102" t="s">
        <v>197</v>
      </c>
      <c r="D17" s="131" t="s">
        <v>198</v>
      </c>
      <c r="E17" s="103"/>
      <c r="F17" s="120">
        <f t="shared" ref="F17:N17" si="2">F14+F16</f>
        <v>1047.8704507211539</v>
      </c>
      <c r="G17" s="120">
        <f t="shared" si="2"/>
        <v>1286.5652361778848</v>
      </c>
      <c r="H17" s="120">
        <f t="shared" si="2"/>
        <v>1517.7875322791463</v>
      </c>
      <c r="I17" s="120">
        <f t="shared" si="2"/>
        <v>1645.6788750252124</v>
      </c>
      <c r="J17" s="120">
        <f t="shared" si="2"/>
        <v>1774.592613357589</v>
      </c>
      <c r="K17" s="120">
        <f t="shared" si="2"/>
        <v>1906.1494218907783</v>
      </c>
      <c r="L17" s="120">
        <f t="shared" si="2"/>
        <v>2040.3974596835874</v>
      </c>
      <c r="M17" s="120">
        <f t="shared" si="2"/>
        <v>2177.3856767915754</v>
      </c>
      <c r="N17" s="120">
        <f t="shared" si="2"/>
        <v>2202.9159241539992</v>
      </c>
      <c r="O17" s="121"/>
      <c r="P17" s="99"/>
      <c r="Q17" s="99"/>
      <c r="R17" s="99"/>
      <c r="S17" s="99"/>
      <c r="T17" s="99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</row>
    <row r="18" spans="2:42" ht="15" customHeight="1" x14ac:dyDescent="0.25">
      <c r="B18" s="101">
        <v>2</v>
      </c>
      <c r="C18" s="72"/>
      <c r="D18" s="85" t="s">
        <v>199</v>
      </c>
      <c r="E18" s="73"/>
      <c r="F18" s="73"/>
      <c r="G18" s="73"/>
      <c r="H18" s="86"/>
      <c r="I18" s="86"/>
      <c r="J18" s="86"/>
      <c r="K18" s="86"/>
      <c r="L18" s="86"/>
      <c r="M18" s="132"/>
      <c r="N18" s="132"/>
      <c r="O18" s="133"/>
      <c r="P18" s="86"/>
      <c r="Q18" s="86"/>
      <c r="R18" s="86"/>
      <c r="S18" s="86"/>
      <c r="T18" s="86"/>
      <c r="X18" s="134"/>
    </row>
    <row r="19" spans="2:42" ht="15" customHeight="1" x14ac:dyDescent="0.25">
      <c r="B19" s="101"/>
      <c r="C19" s="72" t="s">
        <v>188</v>
      </c>
      <c r="D19" s="73" t="s">
        <v>200</v>
      </c>
      <c r="E19" s="73"/>
      <c r="F19" s="73"/>
      <c r="G19" s="73"/>
      <c r="H19" s="86"/>
      <c r="I19" s="86"/>
      <c r="J19" s="86"/>
      <c r="K19" s="86"/>
      <c r="L19" s="86"/>
      <c r="M19" s="86"/>
      <c r="N19" s="86"/>
      <c r="O19" s="110"/>
      <c r="P19" s="86"/>
      <c r="Q19" s="86"/>
      <c r="R19" s="86"/>
      <c r="S19" s="86"/>
      <c r="T19" s="86"/>
    </row>
    <row r="20" spans="2:42" ht="15" customHeight="1" x14ac:dyDescent="0.25">
      <c r="B20" s="101"/>
      <c r="C20" s="72"/>
      <c r="D20" s="73" t="s">
        <v>201</v>
      </c>
      <c r="E20" s="73"/>
      <c r="F20" s="73"/>
      <c r="G20" s="73"/>
      <c r="H20" s="86"/>
      <c r="I20" s="86"/>
      <c r="J20" s="86"/>
      <c r="K20" s="86"/>
      <c r="L20" s="86"/>
      <c r="M20" s="86"/>
      <c r="N20" s="86"/>
      <c r="O20" s="110"/>
      <c r="P20" s="86"/>
      <c r="Q20" s="86"/>
      <c r="R20" s="86"/>
      <c r="S20" s="86"/>
      <c r="T20" s="86"/>
    </row>
    <row r="21" spans="2:42" ht="15" customHeight="1" x14ac:dyDescent="0.25">
      <c r="B21" s="101"/>
      <c r="C21" s="72"/>
      <c r="D21" s="73" t="s">
        <v>202</v>
      </c>
      <c r="E21" s="73"/>
      <c r="F21" s="73"/>
      <c r="G21" s="73"/>
      <c r="H21" s="86"/>
      <c r="I21" s="86"/>
      <c r="J21" s="86"/>
      <c r="K21" s="86"/>
      <c r="L21" s="86"/>
      <c r="M21" s="86"/>
      <c r="N21" s="86"/>
      <c r="O21" s="110"/>
      <c r="P21" s="86"/>
      <c r="Q21" s="86"/>
      <c r="R21" s="86"/>
      <c r="S21" s="86"/>
      <c r="T21" s="86"/>
    </row>
    <row r="22" spans="2:42" ht="15" customHeight="1" x14ac:dyDescent="0.25">
      <c r="B22" s="101"/>
      <c r="C22" s="72"/>
      <c r="D22" s="73" t="s">
        <v>203</v>
      </c>
      <c r="E22" s="73"/>
      <c r="F22" s="73"/>
      <c r="G22" s="73"/>
      <c r="H22" s="86"/>
      <c r="I22" s="86"/>
      <c r="J22" s="86"/>
      <c r="K22" s="86"/>
      <c r="L22" s="86"/>
      <c r="M22" s="86"/>
      <c r="N22" s="86"/>
      <c r="O22" s="110"/>
      <c r="P22" s="86"/>
      <c r="Q22" s="86"/>
      <c r="R22" s="86"/>
      <c r="S22" s="86"/>
      <c r="T22" s="86"/>
      <c r="U22" s="72"/>
    </row>
    <row r="23" spans="2:42" ht="15" customHeight="1" x14ac:dyDescent="0.25">
      <c r="B23" s="101"/>
      <c r="C23" s="72"/>
      <c r="D23" s="73" t="s">
        <v>190</v>
      </c>
      <c r="E23" s="73" t="s">
        <v>206</v>
      </c>
      <c r="F23" s="174">
        <f>+RM!D42</f>
        <v>1011.9039532967033</v>
      </c>
      <c r="G23" s="174">
        <f>+RM!E42</f>
        <v>1223.3001768956046</v>
      </c>
      <c r="H23" s="174">
        <f>+RM!F42</f>
        <v>1438.8231345711538</v>
      </c>
      <c r="I23" s="174">
        <f>+RM!G42</f>
        <v>1555.872793649695</v>
      </c>
      <c r="J23" s="174">
        <f>+RM!H42</f>
        <v>1675.1195635963502</v>
      </c>
      <c r="K23" s="174">
        <f>+RM!I42</f>
        <v>1796.5956816625733</v>
      </c>
      <c r="L23" s="174">
        <f>+RM!J42</f>
        <v>1920.3338101337613</v>
      </c>
      <c r="M23" s="174">
        <f>+RM!K42</f>
        <v>2046.3670416062068</v>
      </c>
      <c r="N23" s="174">
        <f>+RM!L42</f>
        <v>2066.8307120222689</v>
      </c>
      <c r="O23" s="110"/>
      <c r="P23" s="86"/>
      <c r="Q23" s="86"/>
      <c r="R23" s="86"/>
      <c r="S23" s="135"/>
      <c r="T23" s="135"/>
      <c r="U23" s="135"/>
      <c r="V23" s="135"/>
      <c r="W23" s="135"/>
      <c r="X23" s="135"/>
      <c r="Y23" s="135"/>
      <c r="Z23" s="135"/>
      <c r="AA23" s="135"/>
    </row>
    <row r="24" spans="2:42" ht="15" customHeight="1" x14ac:dyDescent="0.25">
      <c r="B24" s="101"/>
      <c r="C24" s="72"/>
      <c r="D24" s="73" t="s">
        <v>192</v>
      </c>
      <c r="E24" s="73" t="s">
        <v>204</v>
      </c>
      <c r="F24" s="86"/>
      <c r="G24" s="86"/>
      <c r="H24" s="86"/>
      <c r="I24" s="86"/>
      <c r="J24" s="86"/>
      <c r="K24" s="86"/>
      <c r="L24" s="86"/>
      <c r="M24" s="86"/>
      <c r="N24" s="86"/>
      <c r="O24" s="110"/>
      <c r="P24" s="136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</row>
    <row r="25" spans="2:42" ht="15" customHeight="1" x14ac:dyDescent="0.25">
      <c r="B25" s="123"/>
      <c r="C25" s="124" t="s">
        <v>195</v>
      </c>
      <c r="D25" s="125" t="s">
        <v>205</v>
      </c>
      <c r="E25" s="125"/>
      <c r="F25" s="132"/>
      <c r="G25" s="132"/>
      <c r="H25" s="132"/>
      <c r="I25" s="132"/>
      <c r="J25" s="132"/>
      <c r="K25" s="132"/>
      <c r="L25" s="132"/>
      <c r="M25" s="132"/>
      <c r="N25" s="132"/>
      <c r="O25" s="133"/>
      <c r="P25" s="86"/>
      <c r="Q25" s="86"/>
      <c r="R25" s="86"/>
      <c r="S25" s="86"/>
      <c r="T25" s="86"/>
      <c r="U25" s="112"/>
      <c r="V25" s="112"/>
    </row>
    <row r="26" spans="2:42" ht="15" customHeight="1" x14ac:dyDescent="0.25">
      <c r="B26" s="101"/>
      <c r="C26" s="72"/>
      <c r="D26" s="73" t="s">
        <v>190</v>
      </c>
      <c r="E26" s="73" t="s">
        <v>206</v>
      </c>
      <c r="F26" s="86"/>
      <c r="G26" s="86"/>
      <c r="H26" s="86"/>
      <c r="I26" s="86"/>
      <c r="J26" s="86"/>
      <c r="K26" s="86"/>
      <c r="L26" s="86"/>
      <c r="M26" s="86"/>
      <c r="N26" s="86"/>
      <c r="O26" s="110"/>
      <c r="P26" s="86"/>
      <c r="Q26" s="86"/>
      <c r="R26" s="86"/>
      <c r="S26" s="86"/>
      <c r="T26" s="86"/>
      <c r="U26" s="112"/>
      <c r="V26" s="112"/>
    </row>
    <row r="27" spans="2:42" ht="15" customHeight="1" x14ac:dyDescent="0.25">
      <c r="B27" s="113"/>
      <c r="C27" s="114"/>
      <c r="D27" s="115" t="s">
        <v>192</v>
      </c>
      <c r="E27" s="115" t="s">
        <v>204</v>
      </c>
      <c r="F27" s="116">
        <f>Consumables!D13</f>
        <v>10.125</v>
      </c>
      <c r="G27" s="116">
        <f>Consumables!E13</f>
        <v>12.2715</v>
      </c>
      <c r="H27" s="116">
        <f>Consumables!F13</f>
        <v>14.459917499999998</v>
      </c>
      <c r="I27" s="116">
        <f>Consumables!G13</f>
        <v>15.647696437500002</v>
      </c>
      <c r="J27" s="116">
        <f>Consumables!H13</f>
        <v>16.857784962</v>
      </c>
      <c r="K27" s="116">
        <f>Consumables!I13</f>
        <v>18.090510487346254</v>
      </c>
      <c r="L27" s="116">
        <f>Consumables!J13</f>
        <v>19.346204744703229</v>
      </c>
      <c r="M27" s="116">
        <f>Consumables!K13</f>
        <v>20.625203836158608</v>
      </c>
      <c r="N27" s="116">
        <f>Consumables!L13</f>
        <v>20.831455874520195</v>
      </c>
      <c r="O27" s="117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2:42" ht="15" customHeight="1" x14ac:dyDescent="0.25">
      <c r="B28" s="113"/>
      <c r="C28" s="114" t="s">
        <v>197</v>
      </c>
      <c r="D28" s="115" t="s">
        <v>207</v>
      </c>
      <c r="E28" s="115"/>
      <c r="F28" s="116">
        <f>Power!D20</f>
        <v>1.7117100000000001</v>
      </c>
      <c r="G28" s="116">
        <f>Power!E20</f>
        <v>2.054052</v>
      </c>
      <c r="H28" s="116">
        <f>Power!F20</f>
        <v>2.3963939999999999</v>
      </c>
      <c r="I28" s="116">
        <f>Power!G20</f>
        <v>2.5675650000000001</v>
      </c>
      <c r="J28" s="116">
        <f>Power!H20</f>
        <v>2.7387359999999998</v>
      </c>
      <c r="K28" s="116">
        <f>Power!I20</f>
        <v>2.9099070000000005</v>
      </c>
      <c r="L28" s="116">
        <f>Power!J20</f>
        <v>3.0810780000000011</v>
      </c>
      <c r="M28" s="116">
        <f>Power!K20</f>
        <v>3.2522490000000008</v>
      </c>
      <c r="N28" s="116">
        <f>Power!L20</f>
        <v>3.2522489999999999</v>
      </c>
      <c r="O28" s="117"/>
      <c r="P28" s="136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2:42" ht="15" customHeight="1" x14ac:dyDescent="0.25">
      <c r="B29" s="101"/>
      <c r="C29" s="72" t="s">
        <v>208</v>
      </c>
      <c r="D29" s="138" t="s">
        <v>209</v>
      </c>
      <c r="E29" s="73"/>
      <c r="F29" s="86">
        <f>Manpower!E34</f>
        <v>1.2412799999999999</v>
      </c>
      <c r="G29" s="86">
        <f>Manpower!F34</f>
        <v>1.3033440000000001</v>
      </c>
      <c r="H29" s="86">
        <f>Manpower!G34</f>
        <v>1.3685111999999999</v>
      </c>
      <c r="I29" s="86">
        <f>Manpower!H34</f>
        <v>1.43693676</v>
      </c>
      <c r="J29" s="86">
        <f>Manpower!I34</f>
        <v>1.5087835980000004</v>
      </c>
      <c r="K29" s="86">
        <f>Manpower!J34</f>
        <v>1.5842227779000004</v>
      </c>
      <c r="L29" s="86">
        <f>Manpower!K34</f>
        <v>1.6634339167950003</v>
      </c>
      <c r="M29" s="86">
        <f>Manpower!L34</f>
        <v>1.7466056126347502</v>
      </c>
      <c r="N29" s="86">
        <f>Manpower!M34</f>
        <v>1.8339358932664882</v>
      </c>
      <c r="O29" s="133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2:42" ht="15" customHeight="1" x14ac:dyDescent="0.25">
      <c r="B30" s="101"/>
      <c r="C30" s="72"/>
      <c r="D30" s="138" t="s">
        <v>210</v>
      </c>
      <c r="E30" s="139"/>
      <c r="F30" s="86"/>
      <c r="G30" s="86"/>
      <c r="H30" s="80"/>
      <c r="I30" s="80"/>
      <c r="J30" s="80"/>
      <c r="K30" s="80"/>
      <c r="L30" s="80"/>
      <c r="M30" s="140"/>
      <c r="N30" s="140"/>
      <c r="O30" s="141"/>
      <c r="P30" s="80"/>
      <c r="Q30" s="80"/>
      <c r="R30" s="80"/>
      <c r="S30" s="80"/>
      <c r="T30" s="80"/>
      <c r="U30" s="112"/>
    </row>
    <row r="31" spans="2:42" ht="15" customHeight="1" x14ac:dyDescent="0.25">
      <c r="B31" s="142"/>
      <c r="C31" s="143" t="s">
        <v>211</v>
      </c>
      <c r="D31" s="144" t="s">
        <v>212</v>
      </c>
      <c r="E31" s="145"/>
      <c r="F31" s="146">
        <f>Repairs!D12</f>
        <v>0.49423385415987153</v>
      </c>
      <c r="G31" s="146">
        <f>Repairs!E12</f>
        <v>0.40653172101636914</v>
      </c>
      <c r="H31" s="146">
        <f>Repairs!F12</f>
        <v>0.33453702549819431</v>
      </c>
      <c r="I31" s="146">
        <f>Repairs!G12</f>
        <v>0.27542255300015933</v>
      </c>
      <c r="J31" s="146">
        <f>Repairs!H12</f>
        <v>0.22687131075814054</v>
      </c>
      <c r="K31" s="146">
        <f>Repairs!I12</f>
        <v>0.18698432057608119</v>
      </c>
      <c r="L31" s="146">
        <f>Repairs!J12</f>
        <v>0.15420508749578399</v>
      </c>
      <c r="M31" s="146">
        <f>Repairs!K12</f>
        <v>0.12725772735334312</v>
      </c>
      <c r="N31" s="146">
        <f>Repairs!L12</f>
        <v>0.10509628213072592</v>
      </c>
      <c r="O31" s="147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2:42" ht="15" customHeight="1" x14ac:dyDescent="0.25">
      <c r="B32" s="113"/>
      <c r="C32" s="114" t="s">
        <v>213</v>
      </c>
      <c r="D32" s="115" t="s">
        <v>214</v>
      </c>
      <c r="E32" s="115"/>
      <c r="F32" s="116">
        <f>FAS!C33</f>
        <v>31.133717359977982</v>
      </c>
      <c r="G32" s="116">
        <f>FAS!D33</f>
        <v>25.579400226670604</v>
      </c>
      <c r="H32" s="116">
        <f>FAS!E33</f>
        <v>21.024563618079021</v>
      </c>
      <c r="I32" s="116">
        <f>FAS!F33</f>
        <v>17.288382759940202</v>
      </c>
      <c r="J32" s="116">
        <f>FAS!G33</f>
        <v>14.222877330432064</v>
      </c>
      <c r="K32" s="116">
        <f>FAS!H33</f>
        <v>11.706923859048473</v>
      </c>
      <c r="L32" s="116">
        <f>FAS!I33</f>
        <v>9.6413641797329568</v>
      </c>
      <c r="M32" s="116">
        <f>FAS!J33</f>
        <v>7.9450082516134186</v>
      </c>
      <c r="N32" s="116">
        <f>FAS!K33</f>
        <v>6.5513670316446886</v>
      </c>
      <c r="O32" s="117"/>
      <c r="P32" s="80"/>
      <c r="Q32" s="80"/>
      <c r="R32" s="80"/>
      <c r="S32" s="80"/>
      <c r="T32" s="86"/>
      <c r="U32" s="112"/>
      <c r="V32" s="112"/>
      <c r="W32" s="112"/>
    </row>
    <row r="33" spans="2:42" s="122" customFormat="1" ht="15" customHeight="1" x14ac:dyDescent="0.25">
      <c r="B33" s="113"/>
      <c r="C33" s="102" t="s">
        <v>215</v>
      </c>
      <c r="D33" s="103" t="s">
        <v>216</v>
      </c>
      <c r="E33" s="103"/>
      <c r="F33" s="120">
        <f>SUM(F23:F32)</f>
        <v>1056.6098945108411</v>
      </c>
      <c r="G33" s="120">
        <f t="shared" ref="G33:N33" si="3">SUM(G23:G32)</f>
        <v>1264.9150048432916</v>
      </c>
      <c r="H33" s="120">
        <f t="shared" si="3"/>
        <v>1478.4070579147312</v>
      </c>
      <c r="I33" s="120">
        <f t="shared" si="3"/>
        <v>1593.0887971601355</v>
      </c>
      <c r="J33" s="120">
        <f t="shared" si="3"/>
        <v>1710.6746167975405</v>
      </c>
      <c r="K33" s="120">
        <f t="shared" si="3"/>
        <v>1831.0742301074442</v>
      </c>
      <c r="L33" s="120">
        <f t="shared" si="3"/>
        <v>1954.2200960624882</v>
      </c>
      <c r="M33" s="120">
        <f t="shared" si="3"/>
        <v>2080.0633660339668</v>
      </c>
      <c r="N33" s="120">
        <f t="shared" si="3"/>
        <v>2099.4048161038313</v>
      </c>
      <c r="O33" s="121"/>
      <c r="P33" s="148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85"/>
      <c r="AN33" s="85"/>
      <c r="AO33" s="85"/>
      <c r="AP33" s="85"/>
    </row>
    <row r="34" spans="2:42" ht="15" customHeight="1" x14ac:dyDescent="0.25">
      <c r="B34" s="101"/>
      <c r="C34" s="72" t="s">
        <v>217</v>
      </c>
      <c r="D34" s="73" t="s">
        <v>218</v>
      </c>
      <c r="E34" s="73"/>
      <c r="F34" s="86"/>
      <c r="G34" s="86"/>
      <c r="H34" s="86"/>
      <c r="I34" s="86"/>
      <c r="J34" s="86"/>
      <c r="K34" s="86"/>
      <c r="L34" s="86"/>
      <c r="M34" s="86"/>
      <c r="N34" s="86"/>
      <c r="O34" s="110"/>
      <c r="P34" s="86"/>
      <c r="Q34" s="86"/>
      <c r="R34" s="86"/>
      <c r="S34" s="86"/>
      <c r="T34" s="86"/>
      <c r="U34" s="112"/>
    </row>
    <row r="35" spans="2:42" ht="15" customHeight="1" x14ac:dyDescent="0.25">
      <c r="B35" s="113"/>
      <c r="C35" s="114" t="s">
        <v>219</v>
      </c>
      <c r="D35" s="115" t="s">
        <v>220</v>
      </c>
      <c r="E35" s="115"/>
      <c r="F35" s="116"/>
      <c r="G35" s="116"/>
      <c r="H35" s="116"/>
      <c r="I35" s="116"/>
      <c r="J35" s="116"/>
      <c r="K35" s="116"/>
      <c r="L35" s="116"/>
      <c r="M35" s="116"/>
      <c r="N35" s="116"/>
      <c r="O35" s="117"/>
      <c r="P35" s="86"/>
      <c r="Q35" s="86"/>
      <c r="R35" s="86"/>
      <c r="S35" s="86"/>
      <c r="T35" s="86"/>
      <c r="U35" s="112"/>
    </row>
    <row r="36" spans="2:42" ht="15" customHeight="1" x14ac:dyDescent="0.25">
      <c r="B36" s="101"/>
      <c r="C36" s="72" t="s">
        <v>221</v>
      </c>
      <c r="D36" s="149" t="s">
        <v>222</v>
      </c>
      <c r="E36" s="85"/>
      <c r="F36" s="99">
        <f>F33+F34-F35</f>
        <v>1056.6098945108411</v>
      </c>
      <c r="G36" s="99">
        <f t="shared" ref="G36:N36" si="4">G33+G34-G35</f>
        <v>1264.9150048432916</v>
      </c>
      <c r="H36" s="99">
        <f t="shared" si="4"/>
        <v>1478.4070579147312</v>
      </c>
      <c r="I36" s="99">
        <f t="shared" si="4"/>
        <v>1593.0887971601355</v>
      </c>
      <c r="J36" s="99">
        <f t="shared" si="4"/>
        <v>1710.6746167975405</v>
      </c>
      <c r="K36" s="99">
        <f t="shared" si="4"/>
        <v>1831.0742301074442</v>
      </c>
      <c r="L36" s="99">
        <f t="shared" si="4"/>
        <v>1954.2200960624882</v>
      </c>
      <c r="M36" s="99">
        <f t="shared" si="4"/>
        <v>2080.0633660339668</v>
      </c>
      <c r="N36" s="99">
        <f t="shared" si="4"/>
        <v>2099.4048161038313</v>
      </c>
      <c r="O36" s="119"/>
      <c r="P36" s="99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2:42" ht="15" customHeight="1" x14ac:dyDescent="0.25">
      <c r="B37" s="101" t="s">
        <v>223</v>
      </c>
      <c r="C37" s="72" t="s">
        <v>224</v>
      </c>
      <c r="D37" s="73" t="s">
        <v>225</v>
      </c>
      <c r="E37" s="73"/>
      <c r="F37" s="86">
        <v>0</v>
      </c>
      <c r="G37" s="86">
        <f>+F38</f>
        <v>17.319823718952957</v>
      </c>
      <c r="H37" s="86">
        <f t="shared" ref="H37:N37" si="5">+G38</f>
        <v>21.018677024191117</v>
      </c>
      <c r="I37" s="86">
        <f t="shared" si="5"/>
        <v>24.579646111585987</v>
      </c>
      <c r="J37" s="86">
        <f t="shared" si="5"/>
        <v>26.518186121043186</v>
      </c>
      <c r="K37" s="86">
        <f t="shared" si="5"/>
        <v>28.477787813965989</v>
      </c>
      <c r="L37" s="86">
        <f t="shared" si="5"/>
        <v>30.483808670254163</v>
      </c>
      <c r="M37" s="86">
        <f t="shared" si="5"/>
        <v>32.535593733119065</v>
      </c>
      <c r="N37" s="86">
        <f t="shared" si="5"/>
        <v>34.632328250952092</v>
      </c>
      <c r="O37" s="110"/>
      <c r="P37" s="80"/>
      <c r="Q37" s="80"/>
      <c r="R37" s="80"/>
      <c r="S37" s="80"/>
      <c r="T37" s="86"/>
      <c r="U37" s="112"/>
    </row>
    <row r="38" spans="2:42" ht="15" customHeight="1" x14ac:dyDescent="0.25">
      <c r="B38" s="101"/>
      <c r="C38" s="72" t="s">
        <v>226</v>
      </c>
      <c r="D38" s="73" t="s">
        <v>227</v>
      </c>
      <c r="E38" s="73"/>
      <c r="F38" s="86">
        <f>+WC!D12</f>
        <v>17.319823718952957</v>
      </c>
      <c r="G38" s="86">
        <f>+WC!E12</f>
        <v>21.018677024191117</v>
      </c>
      <c r="H38" s="86">
        <f>+WC!F12</f>
        <v>24.579646111585987</v>
      </c>
      <c r="I38" s="86">
        <f>+WC!G12</f>
        <v>26.518186121043186</v>
      </c>
      <c r="J38" s="86">
        <f>+WC!H12</f>
        <v>28.477787813965989</v>
      </c>
      <c r="K38" s="86">
        <f>+WC!I12</f>
        <v>30.483808670254163</v>
      </c>
      <c r="L38" s="86">
        <f>+WC!J12</f>
        <v>32.535593733119065</v>
      </c>
      <c r="M38" s="86">
        <f>+WC!K12</f>
        <v>34.632328250952092</v>
      </c>
      <c r="N38" s="86">
        <f>+WC!L12</f>
        <v>34.983843064628125</v>
      </c>
      <c r="O38" s="110"/>
      <c r="P38" s="80"/>
      <c r="Q38" s="80"/>
      <c r="R38" s="80"/>
      <c r="S38" s="80"/>
      <c r="T38" s="86"/>
      <c r="U38" s="112"/>
    </row>
    <row r="39" spans="2:42" ht="15" customHeight="1" x14ac:dyDescent="0.25">
      <c r="B39" s="142"/>
      <c r="C39" s="143" t="s">
        <v>228</v>
      </c>
      <c r="D39" s="150" t="s">
        <v>229</v>
      </c>
      <c r="E39" s="151"/>
      <c r="F39" s="152">
        <f>+F36+F37-F38</f>
        <v>1039.2900707918882</v>
      </c>
      <c r="G39" s="152">
        <f t="shared" ref="G39:N39" si="6">+G36+G37-G38</f>
        <v>1261.2161515380533</v>
      </c>
      <c r="H39" s="152">
        <f t="shared" si="6"/>
        <v>1474.8460888273364</v>
      </c>
      <c r="I39" s="152">
        <f t="shared" si="6"/>
        <v>1591.1502571506785</v>
      </c>
      <c r="J39" s="152">
        <f t="shared" si="6"/>
        <v>1708.7150151046178</v>
      </c>
      <c r="K39" s="152">
        <f t="shared" si="6"/>
        <v>1829.0682092511561</v>
      </c>
      <c r="L39" s="152">
        <f t="shared" si="6"/>
        <v>1952.1683109996234</v>
      </c>
      <c r="M39" s="152">
        <f t="shared" si="6"/>
        <v>2077.9666315161339</v>
      </c>
      <c r="N39" s="152">
        <f t="shared" si="6"/>
        <v>2099.0533012901551</v>
      </c>
      <c r="O39" s="153"/>
      <c r="P39" s="99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</row>
    <row r="40" spans="2:42" ht="15" customHeight="1" x14ac:dyDescent="0.25">
      <c r="B40" s="101">
        <v>3</v>
      </c>
      <c r="C40" s="72"/>
      <c r="D40" s="73" t="s">
        <v>230</v>
      </c>
      <c r="E40" s="73"/>
      <c r="F40" s="86">
        <f>+F12*Inputs!$D$56</f>
        <v>8.3829636057692323</v>
      </c>
      <c r="G40" s="86">
        <f>+G12*Inputs!$D$56</f>
        <v>10.292521889423078</v>
      </c>
      <c r="H40" s="86">
        <f>+H12*Inputs!$D$56</f>
        <v>12.14230025823317</v>
      </c>
      <c r="I40" s="86">
        <f>+I12*Inputs!$D$56</f>
        <v>13.1654310002017</v>
      </c>
      <c r="J40" s="86">
        <f>+J12*Inputs!$D$56</f>
        <v>14.196740906860713</v>
      </c>
      <c r="K40" s="86">
        <f>+K12*Inputs!$D$56</f>
        <v>15.249195375126227</v>
      </c>
      <c r="L40" s="86">
        <f>+L12*Inputs!$D$56</f>
        <v>16.323179677468698</v>
      </c>
      <c r="M40" s="86">
        <f>+M12*Inputs!$D$56</f>
        <v>17.419085414332603</v>
      </c>
      <c r="N40" s="86">
        <f>+N12*Inputs!$D$56</f>
        <v>17.623327393231992</v>
      </c>
      <c r="O40" s="110"/>
      <c r="P40" s="80"/>
      <c r="Q40" s="80"/>
      <c r="R40" s="80"/>
      <c r="S40" s="154"/>
      <c r="T40" s="86"/>
      <c r="U40" s="112"/>
    </row>
    <row r="41" spans="2:42" ht="15" customHeight="1" x14ac:dyDescent="0.25">
      <c r="B41" s="101"/>
      <c r="C41" s="72"/>
      <c r="D41" s="73" t="s">
        <v>231</v>
      </c>
      <c r="E41" s="73"/>
      <c r="F41" s="73"/>
      <c r="G41" s="73"/>
      <c r="H41" s="86"/>
      <c r="I41" s="86"/>
      <c r="J41" s="86"/>
      <c r="K41" s="86"/>
      <c r="L41" s="86"/>
      <c r="M41" s="86"/>
      <c r="N41" s="86"/>
      <c r="O41" s="110"/>
      <c r="P41" s="80"/>
      <c r="Q41" s="80"/>
      <c r="R41" s="80"/>
      <c r="S41" s="80"/>
      <c r="T41" s="86"/>
      <c r="U41" s="112"/>
    </row>
    <row r="42" spans="2:42" ht="15" customHeight="1" x14ac:dyDescent="0.25">
      <c r="B42" s="101">
        <v>4</v>
      </c>
      <c r="C42" s="72"/>
      <c r="D42" s="85" t="s">
        <v>232</v>
      </c>
      <c r="E42" s="85"/>
      <c r="F42" s="99">
        <f>+F17-F39-F40</f>
        <v>0.19741632349651361</v>
      </c>
      <c r="G42" s="99">
        <f t="shared" ref="G42:N42" si="7">+G17-G39-G40</f>
        <v>15.056562750408439</v>
      </c>
      <c r="H42" s="99">
        <f t="shared" si="7"/>
        <v>30.799143193576676</v>
      </c>
      <c r="I42" s="99">
        <f t="shared" si="7"/>
        <v>41.363186874332193</v>
      </c>
      <c r="J42" s="99">
        <f t="shared" si="7"/>
        <v>51.6808573461105</v>
      </c>
      <c r="K42" s="99">
        <f t="shared" si="7"/>
        <v>61.832017264495981</v>
      </c>
      <c r="L42" s="99">
        <f t="shared" si="7"/>
        <v>71.905969006495312</v>
      </c>
      <c r="M42" s="99">
        <f t="shared" si="7"/>
        <v>81.999959861108877</v>
      </c>
      <c r="N42" s="99">
        <f t="shared" si="7"/>
        <v>86.239295470612092</v>
      </c>
      <c r="O42" s="111"/>
      <c r="P42" s="99"/>
      <c r="Q42" s="99"/>
      <c r="R42" s="99"/>
      <c r="S42" s="99"/>
      <c r="T42" s="99"/>
      <c r="U42" s="155"/>
      <c r="Y42" s="112"/>
      <c r="Z42" s="112"/>
      <c r="AA42" s="112"/>
      <c r="AB42" s="112"/>
      <c r="AC42" s="112"/>
      <c r="AD42" s="112"/>
    </row>
    <row r="43" spans="2:42" ht="15" customHeight="1" x14ac:dyDescent="0.25">
      <c r="B43" s="113"/>
      <c r="C43" s="114"/>
      <c r="D43" s="131" t="s">
        <v>233</v>
      </c>
      <c r="E43" s="115"/>
      <c r="F43" s="115"/>
      <c r="G43" s="115"/>
      <c r="H43" s="116"/>
      <c r="I43" s="116"/>
      <c r="J43" s="116"/>
      <c r="K43" s="116"/>
      <c r="L43" s="116"/>
      <c r="M43" s="116"/>
      <c r="N43" s="116"/>
      <c r="O43" s="117"/>
      <c r="P43" s="86"/>
      <c r="Q43" s="86"/>
      <c r="R43" s="86"/>
      <c r="S43" s="86"/>
      <c r="T43" s="86"/>
      <c r="V43" s="156"/>
      <c r="W43" s="156"/>
      <c r="X43" s="156"/>
      <c r="Y43" s="156"/>
      <c r="Z43" s="156"/>
      <c r="AA43" s="156"/>
    </row>
    <row r="44" spans="2:42" ht="15" customHeight="1" x14ac:dyDescent="0.25">
      <c r="B44" s="101">
        <v>5</v>
      </c>
      <c r="C44" s="84"/>
      <c r="D44" s="85" t="s">
        <v>234</v>
      </c>
      <c r="E44" s="85"/>
      <c r="F44" s="85"/>
      <c r="G44" s="85"/>
      <c r="H44" s="86"/>
      <c r="I44" s="86"/>
      <c r="J44" s="86"/>
      <c r="K44" s="86"/>
      <c r="L44" s="86"/>
      <c r="M44" s="86"/>
      <c r="N44" s="86"/>
      <c r="O44" s="110"/>
      <c r="P44" s="86"/>
      <c r="Q44" s="86"/>
      <c r="R44" s="86"/>
    </row>
    <row r="45" spans="2:42" ht="15" customHeight="1" x14ac:dyDescent="0.25">
      <c r="B45" s="101"/>
      <c r="C45" s="72"/>
      <c r="D45" s="73" t="s">
        <v>188</v>
      </c>
      <c r="E45" s="73" t="s">
        <v>235</v>
      </c>
      <c r="F45" s="86">
        <f>TL!E69</f>
        <v>16.390498976919769</v>
      </c>
      <c r="G45" s="86">
        <f>TL!F69</f>
        <v>15.622194337376653</v>
      </c>
      <c r="H45" s="86">
        <f>TL!G69</f>
        <v>13.573381965261687</v>
      </c>
      <c r="I45" s="86">
        <f>TL!H69</f>
        <v>11.524569593146714</v>
      </c>
      <c r="J45" s="86">
        <f>TL!I69</f>
        <v>9.4757572210317438</v>
      </c>
      <c r="K45" s="86">
        <f>TL!J69</f>
        <v>7.4269448489167749</v>
      </c>
      <c r="L45" s="86">
        <f>TL!K69</f>
        <v>5.3781324768018033</v>
      </c>
      <c r="M45" s="86">
        <f>TL!L69</f>
        <v>3.3293201046868317</v>
      </c>
      <c r="N45" s="86">
        <f>TL!M69</f>
        <v>1.2805077325718608</v>
      </c>
      <c r="O45" s="110"/>
      <c r="P45" s="157"/>
      <c r="Q45" s="157"/>
      <c r="R45" s="157"/>
      <c r="AD45" s="158"/>
      <c r="AE45" s="158"/>
    </row>
    <row r="46" spans="2:42" ht="15" customHeight="1" x14ac:dyDescent="0.25">
      <c r="B46" s="101"/>
      <c r="C46" s="72"/>
      <c r="D46" s="73" t="s">
        <v>236</v>
      </c>
      <c r="E46" s="73" t="s">
        <v>237</v>
      </c>
      <c r="F46" s="86">
        <f>WC!D35</f>
        <v>2.5070000000000001</v>
      </c>
      <c r="G46" s="86">
        <f>WC!E35</f>
        <v>3.161</v>
      </c>
      <c r="H46" s="86">
        <f>WC!F35</f>
        <v>3.706</v>
      </c>
      <c r="I46" s="86">
        <f>WC!G35</f>
        <v>3.706</v>
      </c>
      <c r="J46" s="86">
        <f>WC!H35</f>
        <v>3.706</v>
      </c>
      <c r="K46" s="86">
        <f>WC!I35</f>
        <v>3.706</v>
      </c>
      <c r="L46" s="86">
        <f>WC!J35</f>
        <v>3.706</v>
      </c>
      <c r="M46" s="86">
        <f>WC!K35</f>
        <v>3.706</v>
      </c>
      <c r="N46" s="86">
        <f>WC!L35</f>
        <v>3.706</v>
      </c>
      <c r="O46" s="110"/>
      <c r="P46" s="157"/>
      <c r="Q46" s="157"/>
      <c r="R46" s="157"/>
      <c r="AD46" s="158"/>
      <c r="AE46" s="158"/>
    </row>
    <row r="47" spans="2:42" ht="15" customHeight="1" x14ac:dyDescent="0.25">
      <c r="B47" s="101"/>
      <c r="C47" s="72"/>
      <c r="D47" s="73" t="s">
        <v>197</v>
      </c>
      <c r="E47" s="73" t="s">
        <v>238</v>
      </c>
      <c r="F47" s="72"/>
      <c r="G47" s="72"/>
      <c r="H47" s="86"/>
      <c r="I47" s="86"/>
      <c r="J47" s="86"/>
      <c r="K47" s="86"/>
      <c r="L47" s="86"/>
      <c r="M47" s="86"/>
      <c r="N47" s="86"/>
      <c r="O47" s="110"/>
      <c r="P47" s="80"/>
      <c r="Q47" s="80"/>
      <c r="R47" s="80"/>
      <c r="S47" s="80"/>
      <c r="T47" s="99"/>
      <c r="U47" s="112"/>
    </row>
    <row r="48" spans="2:42" ht="15" customHeight="1" x14ac:dyDescent="0.25">
      <c r="B48" s="142"/>
      <c r="C48" s="143"/>
      <c r="D48" s="151" t="s">
        <v>239</v>
      </c>
      <c r="E48" s="151"/>
      <c r="F48" s="152">
        <f t="shared" ref="F48:N48" si="8">SUM(F45:F47)</f>
        <v>18.897498976919771</v>
      </c>
      <c r="G48" s="152">
        <f t="shared" si="8"/>
        <v>18.783194337376653</v>
      </c>
      <c r="H48" s="152">
        <f t="shared" si="8"/>
        <v>17.279381965261688</v>
      </c>
      <c r="I48" s="152">
        <f t="shared" si="8"/>
        <v>15.230569593146713</v>
      </c>
      <c r="J48" s="152">
        <f t="shared" si="8"/>
        <v>13.181757221031743</v>
      </c>
      <c r="K48" s="152">
        <f t="shared" si="8"/>
        <v>11.132944848916775</v>
      </c>
      <c r="L48" s="152">
        <f t="shared" si="8"/>
        <v>9.0841324768018037</v>
      </c>
      <c r="M48" s="152">
        <f t="shared" si="8"/>
        <v>7.0353201046868321</v>
      </c>
      <c r="N48" s="152">
        <f t="shared" si="8"/>
        <v>4.9865077325718605</v>
      </c>
      <c r="O48" s="153"/>
      <c r="P48" s="99"/>
      <c r="Q48" s="99"/>
      <c r="R48" s="99"/>
      <c r="S48" s="99"/>
      <c r="T48" s="99"/>
      <c r="U48" s="112"/>
    </row>
    <row r="49" spans="2:42" ht="15" customHeight="1" x14ac:dyDescent="0.25">
      <c r="B49" s="101">
        <v>6</v>
      </c>
      <c r="C49" s="72"/>
      <c r="D49" s="85" t="s">
        <v>240</v>
      </c>
      <c r="E49" s="85"/>
      <c r="F49" s="99">
        <f>F42-F48</f>
        <v>-18.700082653423259</v>
      </c>
      <c r="G49" s="99">
        <f t="shared" ref="G49:N49" si="9">G42-G48</f>
        <v>-3.7266315869682138</v>
      </c>
      <c r="H49" s="99">
        <f t="shared" si="9"/>
        <v>13.519761228314987</v>
      </c>
      <c r="I49" s="99">
        <f t="shared" si="9"/>
        <v>26.132617281185482</v>
      </c>
      <c r="J49" s="99">
        <f t="shared" si="9"/>
        <v>38.499100125078755</v>
      </c>
      <c r="K49" s="99">
        <f t="shared" si="9"/>
        <v>50.699072415579209</v>
      </c>
      <c r="L49" s="99">
        <f t="shared" si="9"/>
        <v>62.821836529693506</v>
      </c>
      <c r="M49" s="99">
        <f t="shared" si="9"/>
        <v>74.964639756422045</v>
      </c>
      <c r="N49" s="99">
        <f t="shared" si="9"/>
        <v>81.252787738040226</v>
      </c>
      <c r="O49" s="111"/>
      <c r="P49" s="99"/>
      <c r="Q49" s="99"/>
      <c r="R49" s="99"/>
      <c r="S49" s="99"/>
      <c r="T49" s="86"/>
      <c r="U49" s="155"/>
    </row>
    <row r="50" spans="2:42" ht="15" customHeight="1" x14ac:dyDescent="0.25">
      <c r="B50" s="113"/>
      <c r="C50" s="114"/>
      <c r="D50" s="131" t="s">
        <v>241</v>
      </c>
      <c r="E50" s="115"/>
      <c r="F50" s="114"/>
      <c r="G50" s="114"/>
      <c r="H50" s="116"/>
      <c r="I50" s="116"/>
      <c r="J50" s="116"/>
      <c r="K50" s="116"/>
      <c r="L50" s="116"/>
      <c r="M50" s="116"/>
      <c r="N50" s="116"/>
      <c r="O50" s="117"/>
      <c r="P50" s="86"/>
      <c r="Q50" s="86"/>
      <c r="R50" s="86"/>
      <c r="S50" s="86"/>
      <c r="T50" s="86"/>
    </row>
    <row r="51" spans="2:42" ht="15" customHeight="1" x14ac:dyDescent="0.25">
      <c r="B51" s="123">
        <v>7</v>
      </c>
      <c r="C51" s="124"/>
      <c r="D51" s="125" t="s">
        <v>242</v>
      </c>
      <c r="E51" s="125"/>
      <c r="F51" s="132"/>
      <c r="G51" s="132"/>
      <c r="H51" s="132"/>
      <c r="I51" s="132"/>
      <c r="J51" s="132"/>
      <c r="K51" s="132"/>
      <c r="L51" s="132"/>
      <c r="M51" s="132"/>
      <c r="N51" s="132"/>
      <c r="O51" s="133"/>
      <c r="P51" s="86"/>
      <c r="Q51" s="86"/>
      <c r="R51" s="86"/>
      <c r="S51" s="86"/>
      <c r="T51" s="159"/>
      <c r="U51" s="160"/>
      <c r="V51" s="160"/>
      <c r="W51" s="160"/>
      <c r="X51" s="160"/>
      <c r="Y51" s="160"/>
      <c r="Z51" s="160"/>
      <c r="AA51" s="160"/>
      <c r="AB51" s="160"/>
      <c r="AC51" s="160"/>
      <c r="AP51" s="74"/>
    </row>
    <row r="52" spans="2:42" ht="15" customHeight="1" x14ac:dyDescent="0.25">
      <c r="B52" s="113"/>
      <c r="C52" s="114"/>
      <c r="D52" s="115" t="s">
        <v>243</v>
      </c>
      <c r="E52" s="115"/>
      <c r="F52" s="116"/>
      <c r="G52" s="116"/>
      <c r="H52" s="116"/>
      <c r="I52" s="116"/>
      <c r="J52" s="116"/>
      <c r="K52" s="116"/>
      <c r="L52" s="116"/>
      <c r="M52" s="116"/>
      <c r="N52" s="116"/>
      <c r="O52" s="117"/>
      <c r="P52" s="86"/>
      <c r="Q52" s="86"/>
      <c r="R52" s="86"/>
      <c r="S52" s="86"/>
      <c r="U52" s="86"/>
      <c r="V52" s="86"/>
      <c r="W52" s="86"/>
      <c r="X52" s="86"/>
      <c r="Y52" s="86"/>
      <c r="Z52" s="86"/>
      <c r="AA52" s="86"/>
      <c r="AB52" s="86"/>
      <c r="AC52" s="86"/>
      <c r="AP52" s="74"/>
    </row>
    <row r="53" spans="2:42" ht="15" customHeight="1" x14ac:dyDescent="0.25">
      <c r="B53" s="113">
        <v>8</v>
      </c>
      <c r="C53" s="114"/>
      <c r="D53" s="103" t="s">
        <v>244</v>
      </c>
      <c r="E53" s="103"/>
      <c r="F53" s="120">
        <f>F49+F51-F52</f>
        <v>-18.700082653423259</v>
      </c>
      <c r="G53" s="120">
        <f t="shared" ref="G53:N53" si="10">G49+G51-G52</f>
        <v>-3.7266315869682138</v>
      </c>
      <c r="H53" s="120">
        <f t="shared" si="10"/>
        <v>13.519761228314987</v>
      </c>
      <c r="I53" s="120">
        <f t="shared" si="10"/>
        <v>26.132617281185482</v>
      </c>
      <c r="J53" s="120">
        <f t="shared" si="10"/>
        <v>38.499100125078755</v>
      </c>
      <c r="K53" s="120">
        <f t="shared" si="10"/>
        <v>50.699072415579209</v>
      </c>
      <c r="L53" s="120">
        <f t="shared" si="10"/>
        <v>62.821836529693506</v>
      </c>
      <c r="M53" s="120">
        <f t="shared" si="10"/>
        <v>74.964639756422045</v>
      </c>
      <c r="N53" s="120">
        <f t="shared" si="10"/>
        <v>81.252787738040226</v>
      </c>
      <c r="O53" s="121"/>
      <c r="P53" s="99"/>
      <c r="Q53" s="99"/>
      <c r="R53" s="99"/>
      <c r="S53" s="99"/>
      <c r="U53" s="86"/>
      <c r="V53" s="86"/>
      <c r="W53" s="86"/>
      <c r="X53" s="86"/>
      <c r="Y53" s="86"/>
      <c r="Z53" s="86"/>
      <c r="AA53" s="86"/>
      <c r="AB53" s="86"/>
      <c r="AC53" s="86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</row>
    <row r="54" spans="2:42" ht="15" customHeight="1" x14ac:dyDescent="0.25">
      <c r="B54" s="142">
        <v>9</v>
      </c>
      <c r="C54" s="143"/>
      <c r="D54" s="145" t="s">
        <v>245</v>
      </c>
      <c r="E54" s="145"/>
      <c r="F54" s="146">
        <f>IF(F53&gt;0,F53*Inputs!$D$59,0)</f>
        <v>0</v>
      </c>
      <c r="G54" s="146">
        <f>IF(G53&gt;0,G53*Inputs!$D$59,0)</f>
        <v>0</v>
      </c>
      <c r="H54" s="146">
        <f>IF(H53&gt;0,H53*Inputs!$D$59,0)</f>
        <v>2.1090827516171382</v>
      </c>
      <c r="I54" s="146">
        <f>IF(I53&gt;0,I53*Inputs!$D$59,0)</f>
        <v>4.0766882958649351</v>
      </c>
      <c r="J54" s="146">
        <f>IF(J53&gt;0,J53*Inputs!$D$59,0)</f>
        <v>6.005859619512286</v>
      </c>
      <c r="K54" s="146">
        <f>IF(K53&gt;0,K53*Inputs!$D$59,0)</f>
        <v>7.9090552968303562</v>
      </c>
      <c r="L54" s="146">
        <f>IF(L53&gt;0,L53*Inputs!$D$59,0)</f>
        <v>9.8002064986321873</v>
      </c>
      <c r="M54" s="146">
        <f>IF(M53&gt;0,M53*Inputs!$D$59,0)</f>
        <v>11.694483802001839</v>
      </c>
      <c r="N54" s="146">
        <f>IF(N53&gt;0,N53*Inputs!$D$59,0)</f>
        <v>12.675434887134275</v>
      </c>
      <c r="O54" s="147"/>
      <c r="P54" s="99"/>
      <c r="Q54" s="99"/>
      <c r="R54" s="99"/>
      <c r="S54" s="86"/>
      <c r="U54" s="86"/>
      <c r="V54" s="86"/>
      <c r="W54" s="86"/>
      <c r="X54" s="86"/>
      <c r="Y54" s="86"/>
      <c r="Z54" s="86"/>
      <c r="AA54" s="86"/>
      <c r="AB54" s="86"/>
      <c r="AC54" s="86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</row>
    <row r="55" spans="2:42" ht="15" customHeight="1" x14ac:dyDescent="0.25">
      <c r="B55" s="142">
        <v>10</v>
      </c>
      <c r="C55" s="143"/>
      <c r="D55" s="151" t="s">
        <v>246</v>
      </c>
      <c r="E55" s="151"/>
      <c r="F55" s="152">
        <f>F53-F54</f>
        <v>-18.700082653423259</v>
      </c>
      <c r="G55" s="152">
        <f t="shared" ref="G55:N55" si="11">G53-G54</f>
        <v>-3.7266315869682138</v>
      </c>
      <c r="H55" s="152">
        <f t="shared" si="11"/>
        <v>11.41067847669785</v>
      </c>
      <c r="I55" s="152">
        <f t="shared" si="11"/>
        <v>22.055928985320548</v>
      </c>
      <c r="J55" s="152">
        <f t="shared" si="11"/>
        <v>32.493240505566469</v>
      </c>
      <c r="K55" s="152">
        <f t="shared" si="11"/>
        <v>42.79001711874885</v>
      </c>
      <c r="L55" s="152">
        <f t="shared" si="11"/>
        <v>53.021630031061321</v>
      </c>
      <c r="M55" s="152">
        <f t="shared" si="11"/>
        <v>63.270155954420204</v>
      </c>
      <c r="N55" s="152">
        <f t="shared" si="11"/>
        <v>68.577352850905953</v>
      </c>
      <c r="O55" s="153"/>
      <c r="P55" s="99"/>
      <c r="Q55" s="99"/>
      <c r="R55" s="99"/>
      <c r="S55" s="99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</row>
    <row r="56" spans="2:42" ht="15" customHeight="1" x14ac:dyDescent="0.25">
      <c r="B56" s="161"/>
      <c r="C56" s="143"/>
      <c r="D56" s="145" t="s">
        <v>247</v>
      </c>
      <c r="E56" s="145"/>
      <c r="F56" s="146">
        <v>0</v>
      </c>
      <c r="G56" s="146">
        <v>0</v>
      </c>
      <c r="H56" s="146">
        <v>0</v>
      </c>
      <c r="I56" s="146">
        <v>0</v>
      </c>
      <c r="J56" s="146">
        <v>0</v>
      </c>
      <c r="K56" s="146">
        <v>0</v>
      </c>
      <c r="L56" s="146">
        <v>0</v>
      </c>
      <c r="M56" s="146">
        <v>0</v>
      </c>
      <c r="N56" s="146">
        <v>0</v>
      </c>
      <c r="O56" s="147"/>
      <c r="P56" s="86"/>
      <c r="Q56" s="86"/>
      <c r="R56" s="86"/>
      <c r="S56" s="86"/>
      <c r="T56" s="99"/>
      <c r="U56" s="112"/>
      <c r="V56" s="74"/>
      <c r="W56" s="162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</row>
    <row r="57" spans="2:42" ht="15" customHeight="1" x14ac:dyDescent="0.25">
      <c r="B57" s="142">
        <v>11</v>
      </c>
      <c r="C57" s="143"/>
      <c r="D57" s="151" t="s">
        <v>248</v>
      </c>
      <c r="E57" s="151"/>
      <c r="F57" s="152">
        <f>F55-F56</f>
        <v>-18.700082653423259</v>
      </c>
      <c r="G57" s="152">
        <f t="shared" ref="G57:N57" si="12">G55-G56</f>
        <v>-3.7266315869682138</v>
      </c>
      <c r="H57" s="152">
        <f t="shared" si="12"/>
        <v>11.41067847669785</v>
      </c>
      <c r="I57" s="152">
        <f t="shared" si="12"/>
        <v>22.055928985320548</v>
      </c>
      <c r="J57" s="152">
        <f t="shared" si="12"/>
        <v>32.493240505566469</v>
      </c>
      <c r="K57" s="152">
        <f t="shared" si="12"/>
        <v>42.79001711874885</v>
      </c>
      <c r="L57" s="152">
        <f t="shared" si="12"/>
        <v>53.021630031061321</v>
      </c>
      <c r="M57" s="152">
        <f t="shared" si="12"/>
        <v>63.270155954420204</v>
      </c>
      <c r="N57" s="152">
        <f t="shared" si="12"/>
        <v>68.577352850905953</v>
      </c>
      <c r="O57" s="153"/>
      <c r="P57" s="99"/>
      <c r="Q57" s="99"/>
      <c r="R57" s="99"/>
      <c r="S57" s="99"/>
      <c r="T57" s="163"/>
      <c r="U57" s="155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</row>
    <row r="58" spans="2:42" ht="15" customHeight="1" thickBot="1" x14ac:dyDescent="0.3">
      <c r="B58" s="164">
        <v>12</v>
      </c>
      <c r="C58" s="165"/>
      <c r="D58" s="166" t="s">
        <v>249</v>
      </c>
      <c r="E58" s="166"/>
      <c r="F58" s="389">
        <f>F57/F55</f>
        <v>1</v>
      </c>
      <c r="G58" s="389">
        <f t="shared" ref="G58:N58" si="13">G57/G55</f>
        <v>1</v>
      </c>
      <c r="H58" s="389">
        <f t="shared" si="13"/>
        <v>1</v>
      </c>
      <c r="I58" s="389">
        <f t="shared" si="13"/>
        <v>1</v>
      </c>
      <c r="J58" s="389">
        <f t="shared" si="13"/>
        <v>1</v>
      </c>
      <c r="K58" s="389">
        <f t="shared" si="13"/>
        <v>1</v>
      </c>
      <c r="L58" s="389">
        <f t="shared" si="13"/>
        <v>1</v>
      </c>
      <c r="M58" s="389">
        <f t="shared" si="13"/>
        <v>1</v>
      </c>
      <c r="N58" s="389">
        <f t="shared" si="13"/>
        <v>1</v>
      </c>
      <c r="O58" s="167"/>
      <c r="P58" s="163"/>
      <c r="Q58" s="163"/>
      <c r="R58" s="163"/>
      <c r="S58" s="163"/>
      <c r="U58" s="130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</row>
    <row r="59" spans="2:42" ht="15" customHeight="1" x14ac:dyDescent="0.25">
      <c r="B59" s="72"/>
      <c r="C59" s="72"/>
      <c r="D59" s="73"/>
      <c r="E59" s="73"/>
      <c r="F59" s="80"/>
      <c r="G59" s="80"/>
      <c r="H59" s="80"/>
      <c r="I59" s="80"/>
      <c r="J59" s="80"/>
      <c r="K59" s="80"/>
      <c r="L59" s="80"/>
      <c r="M59" s="80"/>
      <c r="N59" s="80"/>
      <c r="O59" s="80"/>
      <c r="T59" s="112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</row>
    <row r="60" spans="2:42" ht="15" customHeight="1" x14ac:dyDescent="0.25">
      <c r="B60" s="72"/>
      <c r="C60" s="72"/>
      <c r="D60" s="73"/>
      <c r="E60" s="73" t="s">
        <v>535</v>
      </c>
      <c r="F60" s="112">
        <f>F53+F48+F32</f>
        <v>31.331133683474494</v>
      </c>
      <c r="G60" s="112">
        <f t="shared" ref="G60:N60" si="14">G53+G48+G32</f>
        <v>40.635962977079046</v>
      </c>
      <c r="H60" s="112">
        <f t="shared" si="14"/>
        <v>51.823706811655697</v>
      </c>
      <c r="I60" s="112">
        <f t="shared" si="14"/>
        <v>58.651569634272391</v>
      </c>
      <c r="J60" s="112">
        <f t="shared" si="14"/>
        <v>65.90373467654257</v>
      </c>
      <c r="K60" s="112">
        <f t="shared" si="14"/>
        <v>73.538941123544461</v>
      </c>
      <c r="L60" s="112">
        <f t="shared" si="14"/>
        <v>81.547333186228272</v>
      </c>
      <c r="M60" s="112">
        <f t="shared" si="14"/>
        <v>89.944968112722293</v>
      </c>
      <c r="N60" s="112">
        <f t="shared" si="14"/>
        <v>92.790662502256779</v>
      </c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</row>
    <row r="61" spans="2:42" ht="15" customHeight="1" x14ac:dyDescent="0.25">
      <c r="B61" s="72"/>
      <c r="C61" s="72"/>
      <c r="D61" s="73"/>
      <c r="E61" s="73" t="s">
        <v>536</v>
      </c>
      <c r="F61" s="390">
        <f>F60/F14</f>
        <v>2.9899816014386248E-2</v>
      </c>
      <c r="G61" s="390">
        <f t="shared" ref="G61:N61" si="15">G60/G14</f>
        <v>3.158484454142408E-2</v>
      </c>
      <c r="H61" s="390">
        <f t="shared" si="15"/>
        <v>3.4144243320958084E-2</v>
      </c>
      <c r="I61" s="390">
        <f t="shared" si="15"/>
        <v>3.5639741461330865E-2</v>
      </c>
      <c r="J61" s="390">
        <f t="shared" si="15"/>
        <v>3.7137388142200412E-2</v>
      </c>
      <c r="K61" s="390">
        <f t="shared" si="15"/>
        <v>3.8579840740186326E-2</v>
      </c>
      <c r="L61" s="390">
        <f t="shared" si="15"/>
        <v>3.9966396154440489E-2</v>
      </c>
      <c r="M61" s="390">
        <f t="shared" si="15"/>
        <v>4.1308698349324192E-2</v>
      </c>
      <c r="N61" s="390">
        <f t="shared" si="15"/>
        <v>4.2121744858643125E-2</v>
      </c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</row>
    <row r="62" spans="2:42" ht="15" customHeight="1" x14ac:dyDescent="0.25">
      <c r="B62" s="72"/>
      <c r="C62" s="72"/>
      <c r="D62" s="73"/>
      <c r="E62" s="73" t="s">
        <v>537</v>
      </c>
      <c r="F62" s="112">
        <f>F60/F48</f>
        <v>1.6579513364038485</v>
      </c>
      <c r="G62" s="112">
        <f t="shared" ref="G62:N62" si="16">G60/G48</f>
        <v>2.1634213141381173</v>
      </c>
      <c r="H62" s="112">
        <f t="shared" si="16"/>
        <v>2.9991643749667438</v>
      </c>
      <c r="I62" s="112">
        <f t="shared" si="16"/>
        <v>3.8509111084501915</v>
      </c>
      <c r="J62" s="112">
        <f t="shared" si="16"/>
        <v>4.9996167864017336</v>
      </c>
      <c r="K62" s="112">
        <f t="shared" si="16"/>
        <v>6.60552460481287</v>
      </c>
      <c r="L62" s="112">
        <f t="shared" si="16"/>
        <v>8.9768982777910953</v>
      </c>
      <c r="M62" s="112">
        <f t="shared" si="16"/>
        <v>12.784772657722028</v>
      </c>
      <c r="N62" s="112">
        <f t="shared" si="16"/>
        <v>18.608346257271059</v>
      </c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</row>
    <row r="63" spans="2:42" ht="15" customHeight="1" x14ac:dyDescent="0.25">
      <c r="B63" s="72"/>
      <c r="C63" s="72"/>
      <c r="D63" s="73"/>
      <c r="E63" s="73"/>
      <c r="F63" s="73"/>
      <c r="G63" s="73"/>
      <c r="J63" s="112"/>
      <c r="K63" s="112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</row>
    <row r="64" spans="2:42" ht="15" customHeight="1" x14ac:dyDescent="0.25">
      <c r="B64" s="72"/>
      <c r="C64" s="72"/>
      <c r="D64" s="73"/>
      <c r="E64" s="73"/>
      <c r="F64" s="73"/>
      <c r="G64" s="73"/>
      <c r="T64" s="112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</row>
    <row r="65" spans="2:42" ht="15" customHeight="1" x14ac:dyDescent="0.25">
      <c r="B65" s="72"/>
      <c r="C65" s="72"/>
      <c r="D65" s="73"/>
      <c r="E65" s="391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U65" s="112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</row>
    <row r="66" spans="2:42" ht="15" customHeight="1" x14ac:dyDescent="0.25">
      <c r="B66" s="72"/>
      <c r="C66" s="72"/>
      <c r="D66" s="73"/>
      <c r="E66" s="73"/>
      <c r="F66" s="112"/>
      <c r="G66" s="112"/>
      <c r="H66" s="112"/>
      <c r="I66" s="112"/>
      <c r="J66" s="112"/>
      <c r="K66" s="112"/>
      <c r="L66" s="112"/>
      <c r="M66" s="112"/>
      <c r="N66" s="112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</row>
    <row r="67" spans="2:42" ht="15" customHeight="1" x14ac:dyDescent="0.25">
      <c r="B67" s="72"/>
      <c r="C67" s="72"/>
      <c r="D67" s="73"/>
      <c r="E67" s="73"/>
      <c r="F67" s="112"/>
      <c r="G67" s="112"/>
      <c r="H67" s="112"/>
      <c r="I67" s="112"/>
      <c r="J67" s="112"/>
      <c r="K67" s="112"/>
      <c r="L67" s="112"/>
      <c r="M67" s="112"/>
      <c r="N67" s="112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</row>
    <row r="68" spans="2:42" ht="15" customHeight="1" x14ac:dyDescent="0.25">
      <c r="B68" s="72"/>
      <c r="C68" s="72"/>
      <c r="D68" s="73"/>
      <c r="E68" s="73"/>
      <c r="F68" s="112"/>
      <c r="G68" s="112"/>
      <c r="H68" s="112"/>
      <c r="I68" s="112"/>
      <c r="J68" s="112"/>
      <c r="K68" s="112"/>
      <c r="L68" s="112"/>
      <c r="M68" s="112"/>
      <c r="N68" s="112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</row>
    <row r="69" spans="2:42" ht="15" customHeight="1" x14ac:dyDescent="0.25">
      <c r="B69" s="72"/>
      <c r="C69" s="72"/>
      <c r="D69" s="73"/>
      <c r="E69" s="73"/>
      <c r="F69" s="73"/>
      <c r="G69" s="73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</row>
    <row r="70" spans="2:42" ht="15" customHeight="1" x14ac:dyDescent="0.25">
      <c r="B70" s="72"/>
      <c r="C70" s="72"/>
      <c r="D70" s="73"/>
      <c r="E70" s="73"/>
      <c r="F70" s="112"/>
      <c r="G70" s="112"/>
      <c r="H70" s="112"/>
      <c r="I70" s="112"/>
      <c r="J70" s="112"/>
      <c r="K70" s="112"/>
      <c r="L70" s="112"/>
      <c r="M70" s="112"/>
      <c r="N70" s="112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</row>
    <row r="71" spans="2:42" ht="15" customHeight="1" x14ac:dyDescent="0.25">
      <c r="B71" s="72"/>
      <c r="C71" s="72"/>
      <c r="D71" s="73"/>
      <c r="E71" s="73"/>
      <c r="F71" s="220"/>
      <c r="G71" s="220"/>
      <c r="H71" s="220"/>
      <c r="I71" s="220"/>
      <c r="J71" s="220"/>
      <c r="K71" s="220"/>
      <c r="L71" s="220"/>
      <c r="M71" s="220"/>
      <c r="N71" s="220"/>
      <c r="T71" s="112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</row>
    <row r="72" spans="2:42" ht="15" customHeight="1" x14ac:dyDescent="0.25">
      <c r="B72" s="72"/>
      <c r="C72" s="72"/>
      <c r="D72" s="73"/>
      <c r="E72" s="73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</row>
    <row r="73" spans="2:42" ht="15" customHeight="1" x14ac:dyDescent="0.25">
      <c r="B73" s="72"/>
      <c r="C73" s="72"/>
      <c r="D73" s="73"/>
      <c r="E73" s="73"/>
      <c r="F73" s="390"/>
      <c r="G73" s="390"/>
      <c r="H73" s="390"/>
      <c r="I73" s="390"/>
      <c r="J73" s="390"/>
      <c r="K73" s="390"/>
      <c r="L73" s="390"/>
      <c r="M73" s="390"/>
      <c r="N73" s="390"/>
      <c r="O73" s="112"/>
      <c r="P73" s="112"/>
      <c r="Q73" s="112"/>
      <c r="R73" s="112"/>
      <c r="S73" s="112"/>
      <c r="U73" s="112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</row>
    <row r="74" spans="2:42" ht="15" customHeight="1" x14ac:dyDescent="0.25">
      <c r="F74" s="112"/>
      <c r="G74" s="112"/>
      <c r="H74" s="112"/>
      <c r="I74" s="112"/>
      <c r="J74" s="112"/>
      <c r="K74" s="112"/>
      <c r="L74" s="112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</row>
    <row r="75" spans="2:42" ht="15" customHeight="1" x14ac:dyDescent="0.25">
      <c r="F75" s="112"/>
      <c r="G75" s="112"/>
      <c r="H75" s="112"/>
      <c r="I75" s="112"/>
      <c r="J75" s="112"/>
      <c r="K75" s="112"/>
      <c r="L75" s="112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</row>
    <row r="76" spans="2:42" ht="15" customHeight="1" x14ac:dyDescent="0.25">
      <c r="F76" s="112"/>
      <c r="G76" s="112"/>
      <c r="H76" s="112"/>
      <c r="I76" s="112"/>
      <c r="J76" s="112"/>
      <c r="K76" s="112"/>
      <c r="L76" s="112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</row>
    <row r="77" spans="2:42" ht="15" customHeight="1" x14ac:dyDescent="0.25">
      <c r="F77" s="80"/>
      <c r="G77" s="80"/>
      <c r="H77" s="80"/>
      <c r="I77" s="80"/>
      <c r="J77" s="80"/>
      <c r="K77" s="80"/>
      <c r="L77" s="80"/>
      <c r="M77" s="80"/>
      <c r="N77" s="80"/>
      <c r="O77" s="80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</row>
    <row r="78" spans="2:42" ht="15" customHeight="1" x14ac:dyDescent="0.25">
      <c r="F78" s="170"/>
      <c r="G78" s="170"/>
      <c r="H78" s="170"/>
      <c r="I78" s="170"/>
      <c r="J78" s="170"/>
      <c r="K78" s="170"/>
      <c r="L78" s="170"/>
      <c r="M78" s="170"/>
      <c r="N78" s="170"/>
      <c r="O78" s="170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</row>
    <row r="79" spans="2:42" ht="15" customHeight="1" x14ac:dyDescent="0.25">
      <c r="F79" s="80"/>
      <c r="G79" s="80"/>
      <c r="H79" s="80"/>
      <c r="I79" s="80"/>
      <c r="J79" s="80"/>
      <c r="K79" s="80"/>
      <c r="L79" s="80"/>
      <c r="M79" s="80"/>
      <c r="N79" s="80"/>
      <c r="O79" s="80"/>
      <c r="T79" s="112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</row>
    <row r="80" spans="2:42" ht="15" customHeight="1" x14ac:dyDescent="0.25">
      <c r="F80" s="156"/>
      <c r="G80" s="156"/>
      <c r="H80" s="156"/>
      <c r="I80" s="156"/>
      <c r="J80" s="80"/>
      <c r="K80" s="80"/>
      <c r="L80" s="80"/>
      <c r="M80" s="80"/>
      <c r="N80" s="80"/>
      <c r="O80" s="80"/>
      <c r="P80" s="112"/>
      <c r="Q80" s="112"/>
      <c r="R80" s="112"/>
      <c r="S80" s="112"/>
      <c r="T80" s="168"/>
      <c r="U80" s="112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</row>
    <row r="81" spans="2:42" x14ac:dyDescent="0.25">
      <c r="F81" s="171"/>
      <c r="G81" s="171"/>
      <c r="H81" s="171"/>
      <c r="I81" s="171"/>
      <c r="J81" s="172"/>
      <c r="K81" s="172"/>
      <c r="L81" s="172"/>
      <c r="M81" s="172"/>
      <c r="N81" s="172"/>
      <c r="O81" s="172"/>
      <c r="P81" s="168"/>
      <c r="Q81" s="168"/>
      <c r="R81" s="168"/>
      <c r="S81" s="168"/>
      <c r="T81" s="112"/>
      <c r="U81" s="168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</row>
    <row r="82" spans="2:42" x14ac:dyDescent="0.25"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U82" s="112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</row>
    <row r="83" spans="2:42" x14ac:dyDescent="0.25">
      <c r="F83" s="156"/>
      <c r="G83" s="156"/>
      <c r="H83" s="156"/>
      <c r="I83" s="156"/>
      <c r="J83" s="156"/>
      <c r="K83" s="156"/>
      <c r="T83" s="112"/>
    </row>
    <row r="84" spans="2:42" x14ac:dyDescent="0.25"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U84" s="112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</row>
    <row r="85" spans="2:42" x14ac:dyDescent="0.25">
      <c r="F85" s="73"/>
      <c r="G85" s="73"/>
    </row>
    <row r="86" spans="2:42" x14ac:dyDescent="0.25">
      <c r="F86" s="73"/>
      <c r="G86" s="73"/>
    </row>
    <row r="87" spans="2:42" x14ac:dyDescent="0.25">
      <c r="F87" s="73"/>
      <c r="G87" s="73"/>
    </row>
    <row r="88" spans="2:42" x14ac:dyDescent="0.25">
      <c r="B88" s="173"/>
      <c r="D88" s="169"/>
      <c r="F88" s="112"/>
      <c r="G88" s="112"/>
      <c r="H88" s="112"/>
      <c r="I88" s="112"/>
      <c r="J88" s="112"/>
      <c r="K88" s="112"/>
      <c r="L88" s="112"/>
      <c r="M88" s="112"/>
      <c r="N88" s="112"/>
      <c r="O88" s="112"/>
    </row>
    <row r="89" spans="2:42" x14ac:dyDescent="0.25">
      <c r="B89" s="173"/>
      <c r="D89" s="169"/>
      <c r="F89" s="112"/>
      <c r="G89" s="112"/>
      <c r="H89" s="112"/>
      <c r="I89" s="112"/>
      <c r="J89" s="112"/>
      <c r="K89" s="112"/>
      <c r="L89" s="112"/>
      <c r="M89" s="112"/>
      <c r="N89" s="112"/>
      <c r="O89" s="112"/>
    </row>
    <row r="90" spans="2:42" x14ac:dyDescent="0.25">
      <c r="F90" s="73"/>
      <c r="G90" s="73"/>
    </row>
    <row r="91" spans="2:42" x14ac:dyDescent="0.25">
      <c r="F91" s="112"/>
      <c r="G91" s="112"/>
      <c r="H91" s="112"/>
      <c r="I91" s="112"/>
      <c r="J91" s="112"/>
      <c r="K91" s="112"/>
      <c r="L91" s="112"/>
      <c r="M91" s="112"/>
      <c r="N91" s="112"/>
      <c r="O91" s="112"/>
    </row>
    <row r="92" spans="2:42" x14ac:dyDescent="0.25">
      <c r="F92" s="73"/>
      <c r="G92" s="73"/>
    </row>
    <row r="93" spans="2:42" x14ac:dyDescent="0.25">
      <c r="F93" s="73"/>
      <c r="G93" s="73"/>
    </row>
    <row r="94" spans="2:42" x14ac:dyDescent="0.25">
      <c r="F94" s="73"/>
      <c r="G94" s="73"/>
    </row>
    <row r="95" spans="2:42" x14ac:dyDescent="0.25">
      <c r="F95" s="73"/>
      <c r="G95" s="73"/>
      <c r="J95" s="174"/>
    </row>
    <row r="96" spans="2:42" x14ac:dyDescent="0.25">
      <c r="F96" s="73"/>
      <c r="G96" s="73"/>
    </row>
    <row r="97" spans="6:7" x14ac:dyDescent="0.25">
      <c r="F97" s="73"/>
      <c r="G97" s="7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B1:BW122"/>
  <sheetViews>
    <sheetView zoomScale="120" zoomScaleNormal="120" workbookViewId="0">
      <pane xSplit="5" ySplit="7" topLeftCell="F8" activePane="bottomRight" state="frozen"/>
      <selection activeCell="F16" sqref="F16"/>
      <selection pane="topRight" activeCell="F16" sqref="F16"/>
      <selection pane="bottomLeft" activeCell="F16" sqref="F16"/>
      <selection pane="bottomRight" activeCell="L1" sqref="L1"/>
    </sheetView>
  </sheetViews>
  <sheetFormatPr defaultColWidth="9.140625" defaultRowHeight="15" x14ac:dyDescent="0.25"/>
  <cols>
    <col min="1" max="1" width="2.5703125" style="74" customWidth="1"/>
    <col min="2" max="2" width="1.42578125" style="73" customWidth="1"/>
    <col min="3" max="3" width="3.85546875" style="169" customWidth="1"/>
    <col min="4" max="4" width="3.85546875" style="74" customWidth="1"/>
    <col min="5" max="5" width="37.85546875" style="74" customWidth="1"/>
    <col min="6" max="7" width="9.42578125" style="175" bestFit="1" customWidth="1"/>
    <col min="8" max="11" width="9.42578125" style="73" bestFit="1" customWidth="1"/>
    <col min="12" max="13" width="9.85546875" style="73" bestFit="1" customWidth="1"/>
    <col min="14" max="14" width="9" style="73" bestFit="1" customWidth="1"/>
    <col min="15" max="15" width="9.42578125" style="73" hidden="1" customWidth="1"/>
    <col min="16" max="17" width="9.85546875" style="73" hidden="1" customWidth="1"/>
    <col min="18" max="18" width="2.140625" style="73" customWidth="1"/>
    <col min="19" max="19" width="1.85546875" style="73" customWidth="1"/>
    <col min="20" max="20" width="52.5703125" style="73" bestFit="1" customWidth="1"/>
    <col min="21" max="21" width="17" style="73" bestFit="1" customWidth="1"/>
    <col min="22" max="22" width="17.140625" style="73" bestFit="1" customWidth="1"/>
    <col min="23" max="23" width="11.42578125" style="73" bestFit="1" customWidth="1"/>
    <col min="24" max="24" width="18.140625" style="73" bestFit="1" customWidth="1"/>
    <col min="25" max="25" width="16.42578125" style="73" bestFit="1" customWidth="1"/>
    <col min="26" max="26" width="11.42578125" style="73" bestFit="1" customWidth="1"/>
    <col min="27" max="27" width="16.140625" style="73" bestFit="1" customWidth="1"/>
    <col min="28" max="28" width="9.140625" style="73"/>
    <col min="29" max="29" width="7.42578125" style="72" bestFit="1" customWidth="1"/>
    <col min="30" max="32" width="5.42578125" style="72" bestFit="1" customWidth="1"/>
    <col min="33" max="75" width="9.140625" style="73"/>
    <col min="76" max="16384" width="9.140625" style="74"/>
  </cols>
  <sheetData>
    <row r="1" spans="2:75" ht="15.75" thickBot="1" x14ac:dyDescent="0.3"/>
    <row r="2" spans="2:75" x14ac:dyDescent="0.25">
      <c r="B2" s="176"/>
      <c r="C2" s="177"/>
      <c r="D2" s="178"/>
      <c r="E2" s="178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80"/>
      <c r="S2" s="112"/>
      <c r="T2" s="112"/>
      <c r="U2" s="112"/>
      <c r="V2" s="112"/>
      <c r="W2" s="112"/>
      <c r="AD2" s="169"/>
      <c r="AE2" s="169"/>
      <c r="AF2" s="169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</row>
    <row r="3" spans="2:75" x14ac:dyDescent="0.25">
      <c r="B3" s="181"/>
      <c r="C3" s="182" t="s">
        <v>250</v>
      </c>
      <c r="D3" s="73"/>
      <c r="E3" s="73"/>
      <c r="F3" s="73"/>
      <c r="G3" s="86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83"/>
      <c r="S3" s="112"/>
      <c r="T3" s="112"/>
      <c r="U3" s="112"/>
      <c r="V3" s="112"/>
      <c r="W3" s="112"/>
      <c r="AD3" s="169"/>
      <c r="AE3" s="169"/>
      <c r="AF3" s="169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</row>
    <row r="4" spans="2:75" x14ac:dyDescent="0.25">
      <c r="B4" s="181"/>
      <c r="C4" s="182" t="s">
        <v>251</v>
      </c>
      <c r="D4" s="73"/>
      <c r="E4" s="85" t="str">
        <f>Company_Name</f>
        <v>SOME RANDOM COMPANY LTD.</v>
      </c>
      <c r="F4" s="112"/>
      <c r="G4" s="112"/>
      <c r="H4" s="112"/>
      <c r="I4" s="112"/>
      <c r="L4" s="184"/>
      <c r="R4" s="87"/>
      <c r="S4" s="112"/>
      <c r="T4" s="112"/>
      <c r="U4" s="112"/>
      <c r="V4" s="112"/>
      <c r="W4" s="112"/>
      <c r="AD4" s="169"/>
      <c r="AE4" s="169"/>
      <c r="AF4" s="169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</row>
    <row r="5" spans="2:75" ht="15.75" thickBot="1" x14ac:dyDescent="0.3">
      <c r="B5" s="181"/>
      <c r="C5" s="72"/>
      <c r="D5" s="73"/>
      <c r="E5" s="73"/>
      <c r="F5" s="112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186"/>
      <c r="S5" s="185"/>
      <c r="T5" s="185"/>
      <c r="U5" s="185"/>
      <c r="V5" s="185"/>
      <c r="W5" s="185"/>
      <c r="AD5" s="169"/>
      <c r="AE5" s="169"/>
      <c r="AF5" s="169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</row>
    <row r="6" spans="2:75" x14ac:dyDescent="0.25">
      <c r="B6" s="176"/>
      <c r="C6" s="95" t="s">
        <v>185</v>
      </c>
      <c r="D6" s="96"/>
      <c r="E6" s="96" t="s">
        <v>252</v>
      </c>
      <c r="F6" s="97" t="str">
        <f>[1]PL!F5</f>
        <v>(Proj.)</v>
      </c>
      <c r="G6" s="97" t="str">
        <f>[1]PL!G5</f>
        <v>(Proj.)</v>
      </c>
      <c r="H6" s="97" t="str">
        <f>[1]PL!H5</f>
        <v>(Proj.)</v>
      </c>
      <c r="I6" s="97" t="str">
        <f>[1]PL!I5</f>
        <v>(Proj.)</v>
      </c>
      <c r="J6" s="97" t="str">
        <f>[1]PL!J5</f>
        <v>(Proj.)</v>
      </c>
      <c r="K6" s="97" t="str">
        <f>[1]PL!K5</f>
        <v>(Proj.)</v>
      </c>
      <c r="L6" s="97" t="str">
        <f>[1]PL!L5</f>
        <v>(Proj.)</v>
      </c>
      <c r="M6" s="97" t="str">
        <f>[1]PL!M5</f>
        <v>(Proj.)</v>
      </c>
      <c r="N6" s="97" t="str">
        <f>[1]PL!N5</f>
        <v>(Proj.)</v>
      </c>
      <c r="O6" s="97"/>
      <c r="P6" s="97"/>
      <c r="Q6" s="97"/>
      <c r="R6" s="98"/>
      <c r="S6" s="99"/>
      <c r="T6" s="99"/>
      <c r="U6" s="99"/>
      <c r="V6" s="99"/>
      <c r="W6" s="99"/>
      <c r="X6" s="100"/>
      <c r="Y6" s="100"/>
      <c r="Z6" s="100"/>
      <c r="AA6" s="100"/>
      <c r="AD6" s="169"/>
      <c r="AE6" s="169"/>
      <c r="AF6" s="169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</row>
    <row r="7" spans="2:75" ht="15.75" thickBot="1" x14ac:dyDescent="0.3">
      <c r="B7" s="181"/>
      <c r="C7" s="84" t="s">
        <v>253</v>
      </c>
      <c r="D7" s="85"/>
      <c r="E7" s="85"/>
      <c r="F7" s="187">
        <f>[1]PL!F6</f>
        <v>2023</v>
      </c>
      <c r="G7" s="187">
        <f t="shared" ref="G7:N7" si="0">F7+1</f>
        <v>2024</v>
      </c>
      <c r="H7" s="187">
        <f t="shared" si="0"/>
        <v>2025</v>
      </c>
      <c r="I7" s="187">
        <f t="shared" si="0"/>
        <v>2026</v>
      </c>
      <c r="J7" s="187">
        <f t="shared" si="0"/>
        <v>2027</v>
      </c>
      <c r="K7" s="187">
        <f t="shared" si="0"/>
        <v>2028</v>
      </c>
      <c r="L7" s="187">
        <f t="shared" si="0"/>
        <v>2029</v>
      </c>
      <c r="M7" s="187">
        <f t="shared" si="0"/>
        <v>2030</v>
      </c>
      <c r="N7" s="187">
        <f t="shared" si="0"/>
        <v>2031</v>
      </c>
      <c r="O7" s="187"/>
      <c r="P7" s="187"/>
      <c r="Q7" s="187"/>
      <c r="R7" s="188"/>
      <c r="S7" s="99"/>
      <c r="T7" s="99"/>
      <c r="U7" s="99"/>
      <c r="V7" s="99"/>
      <c r="W7" s="99"/>
      <c r="AD7" s="169"/>
      <c r="AE7" s="169"/>
      <c r="AF7" s="169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74"/>
    </row>
    <row r="8" spans="2:75" x14ac:dyDescent="0.25">
      <c r="B8" s="176"/>
      <c r="C8" s="76"/>
      <c r="D8" s="96" t="s">
        <v>254</v>
      </c>
      <c r="E8" s="77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189"/>
      <c r="S8" s="112"/>
      <c r="T8" s="112"/>
      <c r="U8" s="112"/>
      <c r="V8" s="112"/>
      <c r="W8" s="112"/>
      <c r="AD8" s="169"/>
      <c r="AE8" s="169"/>
      <c r="AF8" s="169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  <c r="BO8" s="74"/>
      <c r="BP8" s="74"/>
      <c r="BQ8" s="74"/>
      <c r="BR8" s="74"/>
      <c r="BS8" s="74"/>
      <c r="BT8" s="74"/>
      <c r="BU8" s="74"/>
      <c r="BV8" s="74"/>
      <c r="BW8" s="74"/>
    </row>
    <row r="9" spans="2:75" x14ac:dyDescent="0.25">
      <c r="B9" s="181"/>
      <c r="C9" s="72"/>
      <c r="D9" s="85" t="s">
        <v>255</v>
      </c>
      <c r="E9" s="73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110"/>
      <c r="S9" s="112"/>
      <c r="T9" s="112"/>
      <c r="U9" s="112"/>
      <c r="V9" s="112"/>
      <c r="W9" s="112"/>
      <c r="AD9" s="169"/>
      <c r="AE9" s="169"/>
      <c r="AF9" s="169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74"/>
    </row>
    <row r="10" spans="2:75" x14ac:dyDescent="0.25">
      <c r="B10" s="181"/>
      <c r="C10" s="72">
        <v>1</v>
      </c>
      <c r="D10" s="73" t="s">
        <v>256</v>
      </c>
      <c r="E10" s="73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110"/>
      <c r="S10" s="112"/>
      <c r="T10" s="112"/>
      <c r="U10" s="112"/>
      <c r="V10" s="112"/>
      <c r="W10" s="112"/>
      <c r="AD10" s="169"/>
      <c r="AE10" s="169"/>
      <c r="AF10" s="169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</row>
    <row r="11" spans="2:75" x14ac:dyDescent="0.25">
      <c r="B11" s="181"/>
      <c r="C11" s="72"/>
      <c r="D11" s="73" t="s">
        <v>257</v>
      </c>
      <c r="E11" s="73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110"/>
      <c r="S11" s="112"/>
      <c r="T11" s="112"/>
      <c r="U11" s="112"/>
      <c r="V11" s="112"/>
      <c r="W11" s="112"/>
      <c r="AD11" s="169"/>
      <c r="AE11" s="169"/>
      <c r="AF11" s="169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</row>
    <row r="12" spans="2:75" x14ac:dyDescent="0.25">
      <c r="B12" s="181"/>
      <c r="C12" s="72"/>
      <c r="D12" s="190" t="s">
        <v>258</v>
      </c>
      <c r="E12" s="73" t="s">
        <v>259</v>
      </c>
      <c r="F12" s="86">
        <f>+WC!D34</f>
        <v>23</v>
      </c>
      <c r="G12" s="86">
        <f>+WC!E34</f>
        <v>29</v>
      </c>
      <c r="H12" s="86">
        <f>+WC!F34</f>
        <v>34</v>
      </c>
      <c r="I12" s="86">
        <f>+WC!G34</f>
        <v>34</v>
      </c>
      <c r="J12" s="86">
        <f>+WC!H34</f>
        <v>34</v>
      </c>
      <c r="K12" s="86">
        <f>+WC!I34</f>
        <v>34</v>
      </c>
      <c r="L12" s="86">
        <f>+WC!J34</f>
        <v>34</v>
      </c>
      <c r="M12" s="86">
        <f>+WC!K34</f>
        <v>34</v>
      </c>
      <c r="N12" s="86">
        <f>+WC!L34</f>
        <v>34</v>
      </c>
      <c r="O12" s="86"/>
      <c r="P12" s="86"/>
      <c r="Q12" s="86"/>
      <c r="R12" s="110"/>
      <c r="S12" s="112"/>
      <c r="T12" s="112"/>
      <c r="U12" s="112"/>
      <c r="V12" s="112"/>
      <c r="W12" s="112"/>
      <c r="X12" s="112"/>
      <c r="Y12" s="112"/>
      <c r="AA12" s="112"/>
      <c r="AC12" s="86"/>
      <c r="AD12" s="169"/>
      <c r="AE12" s="169"/>
      <c r="AF12" s="169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</row>
    <row r="13" spans="2:75" x14ac:dyDescent="0.25">
      <c r="B13" s="181"/>
      <c r="C13" s="72"/>
      <c r="D13" s="190" t="s">
        <v>260</v>
      </c>
      <c r="E13" s="73" t="s">
        <v>261</v>
      </c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110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86"/>
      <c r="AD13" s="169"/>
      <c r="AE13" s="169"/>
      <c r="AF13" s="169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</row>
    <row r="14" spans="2:75" x14ac:dyDescent="0.25">
      <c r="B14" s="181"/>
      <c r="C14" s="72"/>
      <c r="D14" s="190" t="s">
        <v>262</v>
      </c>
      <c r="E14" s="73" t="s">
        <v>263</v>
      </c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110"/>
      <c r="S14" s="112"/>
      <c r="T14" s="112"/>
      <c r="U14" s="112"/>
      <c r="V14" s="112"/>
      <c r="W14" s="112"/>
      <c r="X14" s="112"/>
      <c r="Y14" s="112"/>
      <c r="Z14" s="112"/>
      <c r="AA14" s="112"/>
      <c r="AC14" s="86"/>
      <c r="AD14" s="169"/>
      <c r="AE14" s="169"/>
      <c r="AF14" s="169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</row>
    <row r="15" spans="2:75" x14ac:dyDescent="0.25">
      <c r="B15" s="191"/>
      <c r="C15" s="143"/>
      <c r="D15" s="151" t="s">
        <v>264</v>
      </c>
      <c r="E15" s="145"/>
      <c r="F15" s="152">
        <f>SUM(F12:F14)</f>
        <v>23</v>
      </c>
      <c r="G15" s="152">
        <f t="shared" ref="G15:N15" si="1">SUM(G12:G14)</f>
        <v>29</v>
      </c>
      <c r="H15" s="152">
        <f t="shared" si="1"/>
        <v>34</v>
      </c>
      <c r="I15" s="152">
        <f t="shared" si="1"/>
        <v>34</v>
      </c>
      <c r="J15" s="152">
        <f t="shared" si="1"/>
        <v>34</v>
      </c>
      <c r="K15" s="152">
        <f t="shared" si="1"/>
        <v>34</v>
      </c>
      <c r="L15" s="152">
        <f t="shared" si="1"/>
        <v>34</v>
      </c>
      <c r="M15" s="152">
        <f t="shared" si="1"/>
        <v>34</v>
      </c>
      <c r="N15" s="152">
        <f t="shared" si="1"/>
        <v>34</v>
      </c>
      <c r="O15" s="152"/>
      <c r="P15" s="152"/>
      <c r="Q15" s="152"/>
      <c r="R15" s="153"/>
      <c r="S15" s="155"/>
      <c r="T15" s="155"/>
      <c r="U15" s="155"/>
      <c r="V15" s="155"/>
      <c r="W15" s="155"/>
      <c r="X15" s="112"/>
      <c r="Y15" s="112"/>
      <c r="Z15" s="112"/>
      <c r="AA15" s="112"/>
      <c r="AC15" s="86"/>
      <c r="AD15" s="169"/>
      <c r="AE15" s="169"/>
      <c r="AF15" s="169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</row>
    <row r="16" spans="2:75" x14ac:dyDescent="0.25">
      <c r="B16" s="192"/>
      <c r="C16" s="114">
        <v>2</v>
      </c>
      <c r="D16" s="115" t="s">
        <v>265</v>
      </c>
      <c r="E16" s="115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7"/>
      <c r="S16" s="112"/>
      <c r="T16" s="112"/>
      <c r="U16" s="112"/>
      <c r="V16" s="112"/>
      <c r="W16" s="112"/>
      <c r="X16" s="112"/>
      <c r="Y16" s="112"/>
      <c r="Z16" s="112"/>
      <c r="AA16" s="112"/>
      <c r="AC16" s="86"/>
      <c r="AD16" s="169"/>
      <c r="AE16" s="169"/>
      <c r="AF16" s="169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</row>
    <row r="17" spans="2:75" x14ac:dyDescent="0.25">
      <c r="B17" s="181"/>
      <c r="C17" s="72">
        <v>3</v>
      </c>
      <c r="D17" s="193" t="s">
        <v>266</v>
      </c>
      <c r="E17" s="193"/>
      <c r="F17" s="86">
        <f>WC!D30</f>
        <v>25.6138188178228</v>
      </c>
      <c r="G17" s="86">
        <f>WC!E30</f>
        <v>30.648565742264775</v>
      </c>
      <c r="H17" s="86">
        <f>WC!F30</f>
        <v>36.037929288552448</v>
      </c>
      <c r="I17" s="86">
        <f>WC!G30</f>
        <v>38.933397859704421</v>
      </c>
      <c r="J17" s="86">
        <f>WC!H30</f>
        <v>41.915253705517088</v>
      </c>
      <c r="K17" s="86">
        <f>WC!I30</f>
        <v>44.95285332846003</v>
      </c>
      <c r="L17" s="86">
        <f>WC!J30</f>
        <v>48.047013418491275</v>
      </c>
      <c r="M17" s="86">
        <f>WC!K30</f>
        <v>51.198561424990309</v>
      </c>
      <c r="N17" s="86">
        <f>WC!L30</f>
        <v>51.677162697561748</v>
      </c>
      <c r="O17" s="86"/>
      <c r="P17" s="86"/>
      <c r="Q17" s="86"/>
      <c r="R17" s="110"/>
      <c r="S17" s="112"/>
      <c r="T17" s="112"/>
      <c r="U17" s="112"/>
      <c r="V17" s="112"/>
      <c r="W17" s="112"/>
      <c r="X17" s="112"/>
      <c r="Y17" s="112"/>
      <c r="Z17" s="112"/>
      <c r="AA17" s="112"/>
      <c r="AC17" s="86"/>
      <c r="AD17" s="169"/>
      <c r="AE17" s="169"/>
      <c r="AF17" s="169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</row>
    <row r="18" spans="2:75" x14ac:dyDescent="0.25">
      <c r="B18" s="181"/>
      <c r="C18" s="72"/>
      <c r="D18" s="138" t="s">
        <v>267</v>
      </c>
      <c r="E18" s="138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110"/>
      <c r="S18" s="112"/>
      <c r="T18" s="112"/>
      <c r="U18" s="112"/>
      <c r="V18" s="112"/>
      <c r="W18" s="112"/>
      <c r="X18" s="112"/>
      <c r="Y18" s="112"/>
      <c r="Z18" s="112"/>
      <c r="AA18" s="112"/>
      <c r="AC18" s="86"/>
      <c r="AD18" s="169"/>
      <c r="AE18" s="169"/>
      <c r="AF18" s="169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</row>
    <row r="19" spans="2:75" x14ac:dyDescent="0.25">
      <c r="B19" s="192"/>
      <c r="C19" s="114"/>
      <c r="D19" s="194" t="s">
        <v>268</v>
      </c>
      <c r="E19" s="194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7"/>
      <c r="S19" s="112"/>
      <c r="T19" s="112"/>
      <c r="U19" s="112"/>
      <c r="V19" s="112"/>
      <c r="W19" s="112"/>
      <c r="X19" s="112"/>
      <c r="Y19" s="112"/>
      <c r="Z19" s="112"/>
      <c r="AA19" s="112"/>
      <c r="AC19" s="86"/>
      <c r="AD19" s="169"/>
      <c r="AE19" s="169"/>
      <c r="AF19" s="169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</row>
    <row r="20" spans="2:75" x14ac:dyDescent="0.25">
      <c r="B20" s="195"/>
      <c r="C20" s="196">
        <v>4</v>
      </c>
      <c r="D20" s="138" t="s">
        <v>269</v>
      </c>
      <c r="E20" s="138"/>
      <c r="F20" s="86">
        <f>+PL!F12*1%</f>
        <v>10.478704507211539</v>
      </c>
      <c r="G20" s="86">
        <f>+PL!G12*1%</f>
        <v>12.865652361778848</v>
      </c>
      <c r="H20" s="86">
        <f>+PL!H12*1%</f>
        <v>15.177875322791463</v>
      </c>
      <c r="I20" s="86">
        <f>+PL!I12*1%</f>
        <v>16.456788750252123</v>
      </c>
      <c r="J20" s="86">
        <f>+PL!J12*1%</f>
        <v>17.745926133575889</v>
      </c>
      <c r="K20" s="86">
        <f>+PL!K12*1%</f>
        <v>19.061494218907782</v>
      </c>
      <c r="L20" s="86">
        <f>+PL!L12*1%</f>
        <v>20.403974596835873</v>
      </c>
      <c r="M20" s="86">
        <f>+PL!M12*1%</f>
        <v>21.773856767915756</v>
      </c>
      <c r="N20" s="86">
        <f>+PL!N12*1%</f>
        <v>22.029159241539993</v>
      </c>
      <c r="O20" s="86"/>
      <c r="P20" s="86"/>
      <c r="Q20" s="86"/>
      <c r="R20" s="110"/>
      <c r="S20" s="112"/>
      <c r="T20" s="112"/>
      <c r="U20" s="112"/>
      <c r="V20" s="112"/>
      <c r="W20" s="112"/>
      <c r="X20" s="112"/>
      <c r="Y20" s="112"/>
      <c r="Z20" s="112"/>
      <c r="AA20" s="112"/>
      <c r="AC20" s="86"/>
      <c r="AD20" s="169"/>
      <c r="AE20" s="169"/>
      <c r="AF20" s="169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</row>
    <row r="21" spans="2:75" x14ac:dyDescent="0.25">
      <c r="B21" s="197"/>
      <c r="C21" s="198"/>
      <c r="D21" s="194" t="s">
        <v>270</v>
      </c>
      <c r="E21" s="194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7"/>
      <c r="S21" s="112"/>
      <c r="T21" s="112"/>
      <c r="U21" s="112"/>
      <c r="V21" s="112"/>
      <c r="W21" s="112"/>
      <c r="X21" s="112"/>
      <c r="Y21" s="112"/>
      <c r="Z21" s="112"/>
      <c r="AA21" s="112"/>
      <c r="AC21" s="86"/>
      <c r="AD21" s="169"/>
      <c r="AE21" s="169"/>
      <c r="AF21" s="169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</row>
    <row r="22" spans="2:75" x14ac:dyDescent="0.25">
      <c r="B22" s="199"/>
      <c r="C22" s="200">
        <v>5</v>
      </c>
      <c r="D22" s="144" t="s">
        <v>271</v>
      </c>
      <c r="E22" s="144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7"/>
      <c r="S22" s="112"/>
      <c r="T22" s="112"/>
      <c r="U22" s="112"/>
      <c r="V22" s="112"/>
      <c r="W22" s="112"/>
      <c r="X22" s="112"/>
      <c r="Y22" s="112"/>
      <c r="Z22" s="112"/>
      <c r="AA22" s="112"/>
      <c r="AC22" s="86"/>
      <c r="AD22" s="169"/>
      <c r="AE22" s="169"/>
      <c r="AF22" s="169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</row>
    <row r="23" spans="2:75" x14ac:dyDescent="0.25">
      <c r="B23" s="192"/>
      <c r="C23" s="198">
        <v>6</v>
      </c>
      <c r="D23" s="194" t="s">
        <v>272</v>
      </c>
      <c r="E23" s="194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7"/>
      <c r="S23" s="112"/>
      <c r="T23" s="112"/>
      <c r="U23" s="112"/>
      <c r="V23" s="112"/>
      <c r="W23" s="112"/>
      <c r="X23" s="112"/>
      <c r="Y23" s="112"/>
      <c r="Z23" s="112"/>
      <c r="AA23" s="112"/>
      <c r="AC23" s="86"/>
      <c r="AE23" s="169"/>
      <c r="AF23" s="169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</row>
    <row r="24" spans="2:75" x14ac:dyDescent="0.25">
      <c r="B24" s="181"/>
      <c r="C24" s="72">
        <v>7</v>
      </c>
      <c r="D24" s="73" t="s">
        <v>273</v>
      </c>
      <c r="E24" s="73"/>
      <c r="F24" s="86">
        <v>1</v>
      </c>
      <c r="G24" s="86">
        <f>F24*0.9</f>
        <v>0.9</v>
      </c>
      <c r="H24" s="86">
        <f t="shared" ref="H24:N24" si="2">G24*0.9</f>
        <v>0.81</v>
      </c>
      <c r="I24" s="86">
        <f t="shared" si="2"/>
        <v>0.72900000000000009</v>
      </c>
      <c r="J24" s="86">
        <f t="shared" si="2"/>
        <v>0.65610000000000013</v>
      </c>
      <c r="K24" s="86">
        <f t="shared" si="2"/>
        <v>0.59049000000000018</v>
      </c>
      <c r="L24" s="86">
        <f t="shared" si="2"/>
        <v>0.53144100000000016</v>
      </c>
      <c r="M24" s="86">
        <f t="shared" si="2"/>
        <v>0.47829690000000014</v>
      </c>
      <c r="N24" s="86">
        <f t="shared" si="2"/>
        <v>0.43046721000000016</v>
      </c>
      <c r="O24" s="86"/>
      <c r="P24" s="86"/>
      <c r="Q24" s="86"/>
      <c r="R24" s="110"/>
      <c r="S24" s="112"/>
      <c r="T24" s="112"/>
      <c r="U24" s="112"/>
      <c r="V24" s="112"/>
      <c r="W24" s="112"/>
      <c r="X24" s="112"/>
      <c r="Y24" s="112"/>
      <c r="Z24" s="112"/>
      <c r="AA24" s="112"/>
      <c r="AC24" s="86"/>
      <c r="AD24" s="86"/>
      <c r="AE24" s="169"/>
      <c r="AF24" s="169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</row>
    <row r="25" spans="2:75" x14ac:dyDescent="0.25">
      <c r="B25" s="192"/>
      <c r="C25" s="114"/>
      <c r="D25" s="194" t="s">
        <v>274</v>
      </c>
      <c r="E25" s="115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7"/>
      <c r="S25" s="112"/>
      <c r="T25" s="112"/>
      <c r="U25" s="112"/>
      <c r="V25" s="112"/>
      <c r="W25" s="112"/>
      <c r="X25" s="112"/>
      <c r="Y25" s="112"/>
      <c r="Z25" s="112"/>
      <c r="AA25" s="112"/>
      <c r="AC25" s="86"/>
      <c r="AE25" s="169"/>
      <c r="AF25" s="169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</row>
    <row r="26" spans="2:75" x14ac:dyDescent="0.25">
      <c r="B26" s="181"/>
      <c r="C26" s="72">
        <v>8</v>
      </c>
      <c r="D26" s="138" t="s">
        <v>275</v>
      </c>
      <c r="E26" s="138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110"/>
      <c r="S26" s="112"/>
      <c r="T26" s="112"/>
      <c r="U26" s="112"/>
      <c r="V26" s="112"/>
      <c r="W26" s="112"/>
      <c r="X26" s="112"/>
      <c r="Y26" s="112"/>
      <c r="Z26" s="112"/>
      <c r="AA26" s="112"/>
      <c r="AC26" s="86"/>
      <c r="AE26" s="169"/>
      <c r="AF26" s="169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</row>
    <row r="27" spans="2:75" x14ac:dyDescent="0.25">
      <c r="B27" s="181"/>
      <c r="C27" s="72"/>
      <c r="D27" s="138" t="s">
        <v>276</v>
      </c>
      <c r="E27" s="138"/>
      <c r="F27" s="86"/>
      <c r="G27" s="86"/>
      <c r="H27" s="86"/>
      <c r="I27" s="86"/>
      <c r="J27" s="86"/>
      <c r="K27" s="86"/>
      <c r="L27" s="86"/>
      <c r="M27" s="86"/>
      <c r="N27" s="86"/>
      <c r="R27" s="87"/>
      <c r="S27" s="112"/>
      <c r="T27" s="112"/>
      <c r="U27" s="112"/>
      <c r="V27" s="112"/>
      <c r="W27" s="112"/>
      <c r="X27" s="112"/>
      <c r="Y27" s="112"/>
      <c r="Z27" s="112"/>
      <c r="AA27" s="112"/>
      <c r="AC27" s="86"/>
      <c r="AE27" s="169"/>
      <c r="AF27" s="169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4"/>
      <c r="BT27" s="74"/>
      <c r="BU27" s="74"/>
      <c r="BV27" s="74"/>
      <c r="BW27" s="74"/>
    </row>
    <row r="28" spans="2:75" x14ac:dyDescent="0.25">
      <c r="B28" s="181"/>
      <c r="C28" s="100" t="s">
        <v>277</v>
      </c>
      <c r="D28" s="73" t="s">
        <v>278</v>
      </c>
      <c r="E28" s="138"/>
      <c r="F28" s="112">
        <f>TL!F70</f>
        <v>17.073436434291427</v>
      </c>
      <c r="G28" s="112">
        <f>TL!G70</f>
        <v>17.073436434291427</v>
      </c>
      <c r="H28" s="112">
        <f>TL!H70</f>
        <v>17.073436434291427</v>
      </c>
      <c r="I28" s="112">
        <f>TL!I70</f>
        <v>17.073436434291427</v>
      </c>
      <c r="J28" s="112">
        <f>TL!J70</f>
        <v>17.073436434291427</v>
      </c>
      <c r="K28" s="112">
        <f>TL!K70</f>
        <v>17.073436434291427</v>
      </c>
      <c r="L28" s="112">
        <f>TL!L70</f>
        <v>17.073436434291427</v>
      </c>
      <c r="M28" s="112">
        <f>TL!M70</f>
        <v>17.073436434291427</v>
      </c>
      <c r="N28" s="112">
        <f>TL!N70</f>
        <v>0</v>
      </c>
      <c r="O28" s="112"/>
      <c r="P28" s="112"/>
      <c r="Q28" s="86"/>
      <c r="R28" s="110"/>
      <c r="S28" s="112"/>
      <c r="T28" s="112"/>
      <c r="U28" s="112"/>
      <c r="V28" s="112"/>
      <c r="W28" s="112"/>
      <c r="X28" s="112"/>
      <c r="Y28" s="112"/>
      <c r="Z28" s="112"/>
      <c r="AA28" s="112"/>
      <c r="AC28" s="86"/>
      <c r="AE28" s="169"/>
      <c r="AF28" s="169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</row>
    <row r="29" spans="2:75" x14ac:dyDescent="0.25">
      <c r="B29" s="181"/>
      <c r="C29" s="100" t="s">
        <v>277</v>
      </c>
      <c r="D29" s="138" t="s">
        <v>279</v>
      </c>
      <c r="E29" s="138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110"/>
      <c r="S29" s="112"/>
      <c r="T29" s="112"/>
      <c r="U29" s="112"/>
      <c r="V29" s="112"/>
      <c r="W29" s="112"/>
      <c r="X29" s="112"/>
      <c r="Y29" s="112"/>
      <c r="Z29" s="112"/>
      <c r="AA29" s="112"/>
      <c r="AC29" s="86"/>
      <c r="AE29" s="169"/>
      <c r="AF29" s="169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</row>
    <row r="30" spans="2:75" x14ac:dyDescent="0.25">
      <c r="B30" s="192"/>
      <c r="C30" s="114"/>
      <c r="D30" s="194" t="s">
        <v>274</v>
      </c>
      <c r="E30" s="194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7"/>
      <c r="S30" s="112"/>
      <c r="T30" s="112"/>
      <c r="U30" s="112"/>
      <c r="V30" s="112"/>
      <c r="W30" s="112"/>
      <c r="X30" s="112"/>
      <c r="Y30" s="112"/>
      <c r="Z30" s="112"/>
      <c r="AA30" s="112"/>
      <c r="AC30" s="86"/>
      <c r="AE30" s="169"/>
      <c r="AF30" s="169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</row>
    <row r="31" spans="2:75" x14ac:dyDescent="0.25">
      <c r="B31" s="181"/>
      <c r="C31" s="72">
        <v>9</v>
      </c>
      <c r="D31" s="73" t="s">
        <v>280</v>
      </c>
      <c r="E31" s="73"/>
      <c r="F31" s="86">
        <v>2</v>
      </c>
      <c r="G31" s="86">
        <f>F31*0.9</f>
        <v>1.8</v>
      </c>
      <c r="H31" s="86">
        <f t="shared" ref="H31:N31" si="3">G31*0.9</f>
        <v>1.62</v>
      </c>
      <c r="I31" s="86">
        <f t="shared" si="3"/>
        <v>1.4580000000000002</v>
      </c>
      <c r="J31" s="86">
        <f t="shared" si="3"/>
        <v>1.3122000000000003</v>
      </c>
      <c r="K31" s="86">
        <f t="shared" si="3"/>
        <v>1.1809800000000004</v>
      </c>
      <c r="L31" s="86">
        <f t="shared" si="3"/>
        <v>1.0628820000000003</v>
      </c>
      <c r="M31" s="86">
        <f t="shared" si="3"/>
        <v>0.95659380000000027</v>
      </c>
      <c r="N31" s="86">
        <f t="shared" si="3"/>
        <v>0.86093442000000031</v>
      </c>
      <c r="O31" s="86"/>
      <c r="P31" s="86"/>
      <c r="Q31" s="86"/>
      <c r="R31" s="110"/>
      <c r="S31" s="112"/>
      <c r="T31" s="201"/>
      <c r="U31" s="201"/>
      <c r="V31" s="202"/>
      <c r="W31" s="112"/>
      <c r="X31" s="203"/>
      <c r="Y31" s="112"/>
      <c r="Z31" s="112"/>
      <c r="AA31" s="112"/>
      <c r="AC31" s="86"/>
      <c r="AE31" s="169"/>
      <c r="AF31" s="169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</row>
    <row r="32" spans="2:75" x14ac:dyDescent="0.25">
      <c r="B32" s="192"/>
      <c r="C32" s="114"/>
      <c r="D32" s="115" t="s">
        <v>274</v>
      </c>
      <c r="E32" s="115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7"/>
      <c r="S32" s="112"/>
      <c r="T32" s="201"/>
      <c r="U32" s="201"/>
      <c r="V32" s="202"/>
      <c r="W32" s="112"/>
      <c r="X32" s="112"/>
      <c r="Y32" s="112"/>
      <c r="Z32" s="112"/>
      <c r="AA32" s="112"/>
      <c r="AC32" s="86"/>
      <c r="AE32" s="169"/>
      <c r="AF32" s="169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</row>
    <row r="33" spans="2:75" x14ac:dyDescent="0.25">
      <c r="B33" s="191"/>
      <c r="C33" s="143"/>
      <c r="D33" s="150" t="s">
        <v>281</v>
      </c>
      <c r="E33" s="151"/>
      <c r="F33" s="152">
        <f>SUM(F16:F32)</f>
        <v>56.165959759325759</v>
      </c>
      <c r="G33" s="152">
        <f t="shared" ref="G33:N33" si="4">SUM(G16:G32)</f>
        <v>63.287654538335048</v>
      </c>
      <c r="H33" s="152">
        <f t="shared" si="4"/>
        <v>70.719241045635343</v>
      </c>
      <c r="I33" s="152">
        <f t="shared" si="4"/>
        <v>74.650623044247965</v>
      </c>
      <c r="J33" s="152">
        <f t="shared" si="4"/>
        <v>78.702916273384417</v>
      </c>
      <c r="K33" s="152">
        <f t="shared" si="4"/>
        <v>82.859253981659236</v>
      </c>
      <c r="L33" s="152">
        <f t="shared" si="4"/>
        <v>87.118747449618567</v>
      </c>
      <c r="M33" s="152">
        <f t="shared" si="4"/>
        <v>91.480745327197496</v>
      </c>
      <c r="N33" s="152">
        <f t="shared" si="4"/>
        <v>74.997723569101751</v>
      </c>
      <c r="O33" s="152"/>
      <c r="P33" s="152"/>
      <c r="Q33" s="152"/>
      <c r="R33" s="153"/>
      <c r="S33" s="155"/>
      <c r="T33" s="201"/>
      <c r="U33" s="201"/>
      <c r="V33" s="202"/>
      <c r="W33" s="155"/>
      <c r="X33" s="112"/>
      <c r="Y33" s="112"/>
      <c r="Z33" s="112"/>
      <c r="AA33" s="112"/>
      <c r="AC33" s="86"/>
      <c r="AE33" s="169"/>
      <c r="AF33" s="169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</row>
    <row r="34" spans="2:75" x14ac:dyDescent="0.25">
      <c r="B34" s="191"/>
      <c r="C34" s="143">
        <v>10</v>
      </c>
      <c r="D34" s="150" t="s">
        <v>282</v>
      </c>
      <c r="E34" s="151"/>
      <c r="F34" s="152">
        <f>F33+F15</f>
        <v>79.165959759325759</v>
      </c>
      <c r="G34" s="152">
        <f t="shared" ref="G34:N34" si="5">G33+G15</f>
        <v>92.287654538335048</v>
      </c>
      <c r="H34" s="152">
        <f t="shared" si="5"/>
        <v>104.71924104563534</v>
      </c>
      <c r="I34" s="152">
        <f t="shared" si="5"/>
        <v>108.65062304424796</v>
      </c>
      <c r="J34" s="152">
        <f t="shared" si="5"/>
        <v>112.70291627338442</v>
      </c>
      <c r="K34" s="152">
        <f t="shared" si="5"/>
        <v>116.85925398165924</v>
      </c>
      <c r="L34" s="152">
        <f t="shared" si="5"/>
        <v>121.11874744961857</v>
      </c>
      <c r="M34" s="152">
        <f t="shared" si="5"/>
        <v>125.4807453271975</v>
      </c>
      <c r="N34" s="152">
        <f t="shared" si="5"/>
        <v>108.99772356910175</v>
      </c>
      <c r="O34" s="152"/>
      <c r="P34" s="152"/>
      <c r="Q34" s="152"/>
      <c r="R34" s="153"/>
      <c r="S34" s="155"/>
      <c r="T34" s="201"/>
      <c r="U34" s="201"/>
      <c r="V34" s="202"/>
      <c r="W34" s="155"/>
      <c r="X34" s="112"/>
      <c r="Y34" s="112"/>
      <c r="Z34" s="112"/>
      <c r="AA34" s="112"/>
      <c r="AC34" s="86"/>
      <c r="AD34" s="169"/>
      <c r="AE34" s="169"/>
      <c r="AF34" s="169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</row>
    <row r="35" spans="2:75" x14ac:dyDescent="0.25">
      <c r="B35" s="181"/>
      <c r="C35" s="72"/>
      <c r="D35" s="85" t="s">
        <v>283</v>
      </c>
      <c r="E35" s="73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110"/>
      <c r="S35" s="112"/>
      <c r="T35" s="201"/>
      <c r="U35" s="201"/>
      <c r="V35" s="202"/>
      <c r="W35" s="112"/>
      <c r="Y35" s="112"/>
      <c r="Z35" s="112"/>
      <c r="AA35" s="112"/>
      <c r="AC35" s="86"/>
      <c r="AD35" s="169"/>
      <c r="AE35" s="169"/>
      <c r="AF35" s="169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</row>
    <row r="36" spans="2:75" x14ac:dyDescent="0.25">
      <c r="B36" s="181"/>
      <c r="C36" s="72">
        <v>11</v>
      </c>
      <c r="D36" s="73" t="s">
        <v>284</v>
      </c>
      <c r="E36" s="73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110"/>
      <c r="S36" s="112"/>
      <c r="T36" s="201"/>
      <c r="U36" s="201"/>
      <c r="V36" s="202"/>
      <c r="W36" s="112"/>
      <c r="X36" s="112"/>
      <c r="Y36" s="112"/>
      <c r="Z36" s="112"/>
      <c r="AA36" s="112"/>
      <c r="AC36" s="86"/>
      <c r="AD36" s="169"/>
      <c r="AE36" s="169"/>
      <c r="AF36" s="169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</row>
    <row r="37" spans="2:75" x14ac:dyDescent="0.25">
      <c r="B37" s="181"/>
      <c r="C37" s="72">
        <v>12</v>
      </c>
      <c r="D37" s="73" t="s">
        <v>285</v>
      </c>
      <c r="E37" s="73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110"/>
      <c r="S37" s="112"/>
      <c r="T37" s="112"/>
      <c r="U37" s="112"/>
      <c r="V37" s="112"/>
      <c r="W37" s="112"/>
      <c r="X37" s="112"/>
      <c r="Y37" s="112"/>
      <c r="Z37" s="112"/>
      <c r="AA37" s="112"/>
      <c r="AC37" s="86"/>
      <c r="AD37" s="169"/>
      <c r="AE37" s="169"/>
      <c r="AF37" s="169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</row>
    <row r="38" spans="2:75" x14ac:dyDescent="0.25">
      <c r="B38" s="181"/>
      <c r="C38" s="72">
        <v>13</v>
      </c>
      <c r="D38" s="73" t="s">
        <v>286</v>
      </c>
      <c r="E38" s="112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110"/>
      <c r="S38" s="112"/>
      <c r="T38" s="112"/>
      <c r="U38" s="112"/>
      <c r="V38" s="112"/>
      <c r="W38" s="112"/>
      <c r="X38" s="112"/>
      <c r="Y38" s="112"/>
      <c r="Z38" s="112"/>
      <c r="AA38" s="112"/>
      <c r="AC38" s="86"/>
      <c r="AD38" s="169"/>
      <c r="AE38" s="169"/>
      <c r="AF38" s="169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</row>
    <row r="39" spans="2:75" x14ac:dyDescent="0.25">
      <c r="B39" s="181"/>
      <c r="C39" s="100" t="s">
        <v>277</v>
      </c>
      <c r="D39" s="73" t="s">
        <v>538</v>
      </c>
      <c r="E39" s="112"/>
      <c r="F39" s="112">
        <f>TL!E67-F28</f>
        <v>119.51405504003999</v>
      </c>
      <c r="G39" s="112">
        <f>TL!F67-G28</f>
        <v>102.44061860574855</v>
      </c>
      <c r="H39" s="112">
        <f>TL!G67-H28</f>
        <v>85.367182171457145</v>
      </c>
      <c r="I39" s="112">
        <f>TL!H67-I28</f>
        <v>68.293745737165736</v>
      </c>
      <c r="J39" s="112">
        <f>TL!I67-J28</f>
        <v>51.220309302874327</v>
      </c>
      <c r="K39" s="112">
        <f>TL!J67-K28</f>
        <v>34.146872868582889</v>
      </c>
      <c r="L39" s="112">
        <f>TL!K67-L28</f>
        <v>17.073436434291455</v>
      </c>
      <c r="M39" s="112">
        <f>TL!L67-M28</f>
        <v>3.1974423109204508E-14</v>
      </c>
      <c r="N39" s="112">
        <f>TL!M67-N28</f>
        <v>3.3750779948604759E-14</v>
      </c>
      <c r="O39" s="112"/>
      <c r="P39" s="112"/>
      <c r="Q39" s="86"/>
      <c r="R39" s="110"/>
      <c r="S39" s="112"/>
      <c r="T39" s="112"/>
      <c r="U39" s="112"/>
      <c r="V39" s="112"/>
      <c r="W39" s="112"/>
      <c r="X39" s="112"/>
      <c r="Y39" s="112"/>
      <c r="Z39" s="112"/>
      <c r="AA39" s="112"/>
      <c r="AC39" s="86"/>
      <c r="AD39" s="169"/>
      <c r="AE39" s="169"/>
      <c r="AF39" s="169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</row>
    <row r="40" spans="2:75" x14ac:dyDescent="0.25">
      <c r="B40" s="181"/>
      <c r="C40" s="100" t="s">
        <v>277</v>
      </c>
      <c r="D40" s="73" t="s">
        <v>279</v>
      </c>
      <c r="E40" s="73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110"/>
      <c r="S40" s="112"/>
      <c r="T40" s="112"/>
      <c r="U40" s="112"/>
      <c r="V40" s="112"/>
      <c r="W40" s="112"/>
      <c r="X40" s="112"/>
      <c r="Y40" s="112"/>
      <c r="Z40" s="112"/>
      <c r="AA40" s="112"/>
      <c r="AC40" s="86"/>
      <c r="AD40" s="169"/>
      <c r="AE40" s="169"/>
      <c r="AF40" s="169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</row>
    <row r="41" spans="2:75" x14ac:dyDescent="0.25">
      <c r="B41" s="181"/>
      <c r="C41" s="72"/>
      <c r="D41" s="73" t="s">
        <v>287</v>
      </c>
      <c r="E41" s="73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110"/>
      <c r="S41" s="112"/>
      <c r="T41" s="112"/>
      <c r="U41" s="112"/>
      <c r="V41" s="112"/>
      <c r="W41" s="112"/>
      <c r="X41" s="112"/>
      <c r="Y41" s="112"/>
      <c r="Z41" s="112"/>
      <c r="AA41" s="112"/>
      <c r="AC41" s="86"/>
      <c r="AD41" s="169"/>
      <c r="AE41" s="169"/>
      <c r="AF41" s="169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</row>
    <row r="42" spans="2:75" x14ac:dyDescent="0.25">
      <c r="B42" s="181"/>
      <c r="C42" s="72">
        <v>14</v>
      </c>
      <c r="D42" s="73" t="s">
        <v>288</v>
      </c>
      <c r="E42" s="73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110"/>
      <c r="S42" s="112"/>
      <c r="T42" s="112"/>
      <c r="U42" s="112"/>
      <c r="V42" s="112"/>
      <c r="W42" s="112"/>
      <c r="X42" s="112"/>
      <c r="Y42" s="112"/>
      <c r="Z42" s="112"/>
      <c r="AA42" s="112"/>
      <c r="AC42" s="86"/>
      <c r="AD42" s="169"/>
      <c r="AE42" s="169"/>
      <c r="AF42" s="169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</row>
    <row r="43" spans="2:75" x14ac:dyDescent="0.25">
      <c r="B43" s="181"/>
      <c r="C43" s="72">
        <v>15</v>
      </c>
      <c r="D43" s="73" t="s">
        <v>289</v>
      </c>
      <c r="E43" s="85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10"/>
      <c r="S43" s="204"/>
      <c r="T43" s="112"/>
      <c r="U43" s="112"/>
      <c r="V43" s="112"/>
      <c r="W43" s="112"/>
      <c r="X43" s="112"/>
      <c r="Y43" s="112"/>
      <c r="Z43" s="112"/>
      <c r="AA43" s="112"/>
      <c r="AC43" s="86"/>
      <c r="AD43" s="169"/>
      <c r="AE43" s="169"/>
      <c r="AF43" s="169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</row>
    <row r="44" spans="2:75" x14ac:dyDescent="0.25">
      <c r="B44" s="181"/>
      <c r="C44" s="72">
        <v>16</v>
      </c>
      <c r="D44" s="201" t="s">
        <v>290</v>
      </c>
      <c r="E44" s="73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110"/>
      <c r="S44" s="204"/>
      <c r="T44" s="112"/>
      <c r="U44" s="112"/>
      <c r="V44" s="112"/>
      <c r="W44" s="112"/>
      <c r="X44" s="112"/>
      <c r="Y44" s="112"/>
      <c r="Z44" s="112"/>
      <c r="AA44" s="112"/>
      <c r="AC44" s="86"/>
      <c r="AD44" s="169"/>
      <c r="AE44" s="169"/>
      <c r="AF44" s="169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74"/>
      <c r="BG44" s="74"/>
      <c r="BH44" s="74"/>
      <c r="BI44" s="74"/>
      <c r="BJ44" s="74"/>
      <c r="BK44" s="74"/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</row>
    <row r="45" spans="2:75" x14ac:dyDescent="0.25">
      <c r="B45" s="181"/>
      <c r="C45" s="72">
        <v>17</v>
      </c>
      <c r="D45" s="205" t="s">
        <v>291</v>
      </c>
      <c r="E45" s="85"/>
      <c r="F45" s="99">
        <f>SUM(F36:F44)</f>
        <v>119.51405504003999</v>
      </c>
      <c r="G45" s="99">
        <f t="shared" ref="G45:N45" si="6">SUM(G36:G44)</f>
        <v>102.44061860574855</v>
      </c>
      <c r="H45" s="99">
        <f t="shared" si="6"/>
        <v>85.367182171457145</v>
      </c>
      <c r="I45" s="99">
        <f t="shared" si="6"/>
        <v>68.293745737165736</v>
      </c>
      <c r="J45" s="99">
        <f t="shared" si="6"/>
        <v>51.220309302874327</v>
      </c>
      <c r="K45" s="99">
        <f t="shared" si="6"/>
        <v>34.146872868582889</v>
      </c>
      <c r="L45" s="99">
        <f t="shared" si="6"/>
        <v>17.073436434291455</v>
      </c>
      <c r="M45" s="99">
        <f t="shared" si="6"/>
        <v>3.1974423109204508E-14</v>
      </c>
      <c r="N45" s="99">
        <f t="shared" si="6"/>
        <v>3.3750779948604759E-14</v>
      </c>
      <c r="O45" s="99"/>
      <c r="P45" s="99"/>
      <c r="Q45" s="99"/>
      <c r="R45" s="111"/>
      <c r="S45" s="155"/>
      <c r="T45" s="155"/>
      <c r="U45" s="155"/>
      <c r="V45" s="155"/>
      <c r="W45" s="155"/>
      <c r="X45" s="112"/>
      <c r="Y45" s="112"/>
      <c r="Z45" s="112"/>
      <c r="AA45" s="112"/>
      <c r="AC45" s="86"/>
      <c r="AD45" s="169"/>
      <c r="AE45" s="169"/>
      <c r="AF45" s="169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</row>
    <row r="46" spans="2:75" x14ac:dyDescent="0.25">
      <c r="B46" s="181"/>
      <c r="C46" s="72"/>
      <c r="D46" s="205" t="s">
        <v>292</v>
      </c>
      <c r="E46" s="85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111"/>
      <c r="S46" s="155"/>
      <c r="T46" s="155"/>
      <c r="U46" s="155"/>
      <c r="V46" s="155"/>
      <c r="W46" s="155"/>
      <c r="X46" s="112"/>
      <c r="Y46" s="112"/>
      <c r="Z46" s="112"/>
      <c r="AA46" s="112"/>
      <c r="AC46" s="86"/>
      <c r="AD46" s="169"/>
      <c r="AE46" s="169"/>
      <c r="AF46" s="169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74"/>
      <c r="BG46" s="74"/>
      <c r="BH46" s="74"/>
      <c r="BI46" s="74"/>
      <c r="BJ46" s="74"/>
      <c r="BK46" s="74"/>
      <c r="BL46" s="74"/>
      <c r="BM46" s="74"/>
      <c r="BN46" s="74"/>
      <c r="BO46" s="74"/>
      <c r="BP46" s="74"/>
      <c r="BQ46" s="74"/>
      <c r="BR46" s="74"/>
      <c r="BS46" s="74"/>
      <c r="BT46" s="74"/>
      <c r="BU46" s="74"/>
      <c r="BV46" s="74"/>
      <c r="BW46" s="74"/>
    </row>
    <row r="47" spans="2:75" x14ac:dyDescent="0.25">
      <c r="B47" s="191"/>
      <c r="C47" s="143">
        <v>18</v>
      </c>
      <c r="D47" s="206" t="s">
        <v>293</v>
      </c>
      <c r="E47" s="151"/>
      <c r="F47" s="152">
        <f t="shared" ref="F47:N47" si="7">F45+F34</f>
        <v>198.68001479936575</v>
      </c>
      <c r="G47" s="152">
        <f t="shared" si="7"/>
        <v>194.7282731440836</v>
      </c>
      <c r="H47" s="152">
        <f t="shared" si="7"/>
        <v>190.08642321709249</v>
      </c>
      <c r="I47" s="152">
        <f t="shared" si="7"/>
        <v>176.94436878141369</v>
      </c>
      <c r="J47" s="152">
        <f t="shared" si="7"/>
        <v>163.92322557625874</v>
      </c>
      <c r="K47" s="152">
        <f t="shared" si="7"/>
        <v>151.00612685024214</v>
      </c>
      <c r="L47" s="152">
        <f t="shared" si="7"/>
        <v>138.19218388391002</v>
      </c>
      <c r="M47" s="152">
        <f t="shared" si="7"/>
        <v>125.48074532719752</v>
      </c>
      <c r="N47" s="152">
        <f t="shared" si="7"/>
        <v>108.99772356910178</v>
      </c>
      <c r="O47" s="152"/>
      <c r="P47" s="152"/>
      <c r="Q47" s="152"/>
      <c r="R47" s="153"/>
      <c r="S47" s="155"/>
      <c r="T47" s="155"/>
      <c r="U47" s="155"/>
      <c r="V47" s="155"/>
      <c r="W47" s="155"/>
      <c r="X47" s="207"/>
      <c r="Y47" s="112"/>
      <c r="Z47" s="112"/>
      <c r="AC47" s="86"/>
      <c r="AD47" s="169"/>
      <c r="AE47" s="169"/>
      <c r="AF47" s="169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</row>
    <row r="48" spans="2:75" x14ac:dyDescent="0.25">
      <c r="B48" s="181"/>
      <c r="C48" s="72"/>
      <c r="D48" s="73"/>
      <c r="E48" s="73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110"/>
      <c r="S48" s="112"/>
      <c r="T48" s="112"/>
      <c r="U48" s="112"/>
      <c r="V48" s="112"/>
      <c r="W48" s="112"/>
      <c r="X48" s="112"/>
      <c r="Y48" s="112"/>
      <c r="Z48" s="112"/>
      <c r="AA48" s="112"/>
      <c r="AC48" s="86"/>
      <c r="AD48" s="169"/>
      <c r="AE48" s="169"/>
      <c r="AF48" s="169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</row>
    <row r="49" spans="2:75" x14ac:dyDescent="0.25">
      <c r="B49" s="181"/>
      <c r="C49" s="72"/>
      <c r="D49" s="205" t="s">
        <v>294</v>
      </c>
      <c r="E49" s="73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110"/>
      <c r="S49" s="112"/>
      <c r="T49" s="112"/>
      <c r="U49" s="112"/>
      <c r="V49" s="112"/>
      <c r="W49" s="112"/>
      <c r="X49" s="112"/>
      <c r="Y49" s="112"/>
      <c r="Z49" s="112"/>
      <c r="AA49" s="155"/>
      <c r="AB49"/>
      <c r="AC49"/>
      <c r="AD49"/>
      <c r="AE49"/>
      <c r="AF49"/>
      <c r="AG49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</row>
    <row r="50" spans="2:75" x14ac:dyDescent="0.25">
      <c r="B50" s="181"/>
      <c r="C50" s="84">
        <v>19</v>
      </c>
      <c r="D50" s="85" t="s">
        <v>295</v>
      </c>
      <c r="E50" s="85"/>
      <c r="F50" s="99">
        <f>+'Cost &amp; Means'!F17</f>
        <v>73.547110793870758</v>
      </c>
      <c r="G50" s="99">
        <f>F50</f>
        <v>73.547110793870758</v>
      </c>
      <c r="H50" s="99">
        <f t="shared" ref="H50:N50" si="8">G50</f>
        <v>73.547110793870758</v>
      </c>
      <c r="I50" s="99">
        <f t="shared" si="8"/>
        <v>73.547110793870758</v>
      </c>
      <c r="J50" s="99">
        <f t="shared" si="8"/>
        <v>73.547110793870758</v>
      </c>
      <c r="K50" s="99">
        <f t="shared" si="8"/>
        <v>73.547110793870758</v>
      </c>
      <c r="L50" s="99">
        <f t="shared" si="8"/>
        <v>73.547110793870758</v>
      </c>
      <c r="M50" s="99">
        <f t="shared" si="8"/>
        <v>73.547110793870758</v>
      </c>
      <c r="N50" s="99">
        <f t="shared" si="8"/>
        <v>73.547110793870758</v>
      </c>
      <c r="O50" s="99"/>
      <c r="P50" s="99"/>
      <c r="Q50" s="99"/>
      <c r="R50" s="111"/>
      <c r="T50" s="112"/>
      <c r="U50" s="112"/>
      <c r="V50" s="112"/>
      <c r="W50" s="112"/>
      <c r="X50" s="112"/>
      <c r="Y50" s="112"/>
      <c r="Z50" s="112"/>
      <c r="AA50" s="112"/>
      <c r="AB50"/>
      <c r="AC50"/>
      <c r="AD50"/>
      <c r="AE50"/>
      <c r="AF50"/>
      <c r="AG50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</row>
    <row r="51" spans="2:75" x14ac:dyDescent="0.25">
      <c r="B51" s="181"/>
      <c r="C51" s="72">
        <v>20</v>
      </c>
      <c r="D51" s="73" t="s">
        <v>296</v>
      </c>
      <c r="E51" s="73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110"/>
      <c r="S51" s="112"/>
      <c r="T51" s="112"/>
      <c r="U51" s="112"/>
      <c r="V51" s="112"/>
      <c r="W51" s="112"/>
      <c r="X51" s="112"/>
      <c r="Y51" s="203"/>
      <c r="Z51" s="112"/>
      <c r="AA51" s="112"/>
      <c r="AB51"/>
      <c r="AC51"/>
      <c r="AD51"/>
      <c r="AE51"/>
      <c r="AF51"/>
      <c r="AG51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</row>
    <row r="52" spans="2:75" x14ac:dyDescent="0.25">
      <c r="B52" s="181"/>
      <c r="C52" s="72">
        <v>21</v>
      </c>
      <c r="D52" s="73" t="s">
        <v>297</v>
      </c>
      <c r="E52" s="73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110"/>
      <c r="S52" s="112"/>
      <c r="T52" s="112"/>
      <c r="U52" s="112"/>
      <c r="V52" s="112"/>
      <c r="W52" s="112"/>
      <c r="X52" s="112"/>
      <c r="Y52" s="203"/>
      <c r="Z52" s="112"/>
      <c r="AA52" s="112"/>
      <c r="AB52"/>
      <c r="AC52"/>
      <c r="AD52"/>
      <c r="AE52"/>
      <c r="AF52"/>
      <c r="AG52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</row>
    <row r="53" spans="2:75" x14ac:dyDescent="0.25">
      <c r="B53" s="181"/>
      <c r="C53" s="72">
        <v>22</v>
      </c>
      <c r="D53" s="73" t="s">
        <v>298</v>
      </c>
      <c r="E53" s="73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110"/>
      <c r="S53" s="112"/>
      <c r="T53" s="112"/>
      <c r="U53" s="112"/>
      <c r="V53" s="112"/>
      <c r="W53" s="112"/>
      <c r="X53" s="112"/>
      <c r="Y53" s="112"/>
      <c r="Z53" s="112"/>
      <c r="AA53" s="112"/>
      <c r="AB53"/>
      <c r="AC53"/>
      <c r="AD53"/>
      <c r="AE53"/>
      <c r="AF53"/>
      <c r="AG53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</row>
    <row r="54" spans="2:75" x14ac:dyDescent="0.25">
      <c r="B54" s="181"/>
      <c r="C54" s="72">
        <v>23</v>
      </c>
      <c r="D54" s="73" t="s">
        <v>299</v>
      </c>
      <c r="E54" s="73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110"/>
      <c r="S54" s="86"/>
      <c r="T54" s="112"/>
      <c r="U54" s="155"/>
      <c r="V54" s="155"/>
      <c r="W54" s="155"/>
      <c r="X54" s="155"/>
      <c r="Y54" s="155"/>
      <c r="AA54" s="112"/>
      <c r="AB54"/>
      <c r="AC54"/>
      <c r="AD54"/>
      <c r="AE54"/>
      <c r="AF54"/>
      <c r="AG5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</row>
    <row r="55" spans="2:75" x14ac:dyDescent="0.25">
      <c r="B55" s="181"/>
      <c r="C55" s="72">
        <v>24</v>
      </c>
      <c r="D55" s="73" t="s">
        <v>300</v>
      </c>
      <c r="E55" s="73"/>
      <c r="F55" s="86">
        <f>PL!F57</f>
        <v>-18.700082653423259</v>
      </c>
      <c r="G55" s="86">
        <f>F55+PL!G57</f>
        <v>-22.426714240391473</v>
      </c>
      <c r="H55" s="86">
        <f>G55+PL!H57</f>
        <v>-11.016035763693623</v>
      </c>
      <c r="I55" s="86">
        <f>H55+PL!I57</f>
        <v>11.039893221626926</v>
      </c>
      <c r="J55" s="86">
        <f>I55+PL!J57</f>
        <v>43.533133727193395</v>
      </c>
      <c r="K55" s="86">
        <f>J55+PL!K57</f>
        <v>86.323150845942251</v>
      </c>
      <c r="L55" s="86">
        <f>K55+PL!L57</f>
        <v>139.34478087700359</v>
      </c>
      <c r="M55" s="86">
        <f>L55+PL!M57</f>
        <v>202.61493683142379</v>
      </c>
      <c r="N55" s="86">
        <f>M55+PL!N57</f>
        <v>271.19228968232972</v>
      </c>
      <c r="O55" s="86"/>
      <c r="P55" s="86"/>
      <c r="Q55" s="86"/>
      <c r="R55" s="110"/>
      <c r="S55" s="112"/>
      <c r="T55" s="112"/>
      <c r="U55" s="155"/>
      <c r="V55" s="155"/>
      <c r="W55" s="155"/>
      <c r="X55" s="155"/>
      <c r="Y55" s="112"/>
      <c r="AA55" s="112"/>
      <c r="AB55"/>
      <c r="AC55"/>
      <c r="AD55"/>
      <c r="AE55"/>
      <c r="AF55"/>
      <c r="AG55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</row>
    <row r="56" spans="2:75" x14ac:dyDescent="0.25">
      <c r="B56" s="181"/>
      <c r="C56" s="72">
        <v>25</v>
      </c>
      <c r="D56" s="85" t="s">
        <v>301</v>
      </c>
      <c r="E56" s="73"/>
      <c r="F56" s="99">
        <f t="shared" ref="F56:N56" si="9">SUM(F50:F55)</f>
        <v>54.847028140447499</v>
      </c>
      <c r="G56" s="99">
        <f t="shared" si="9"/>
        <v>51.120396553479281</v>
      </c>
      <c r="H56" s="99">
        <f t="shared" si="9"/>
        <v>62.531075030177135</v>
      </c>
      <c r="I56" s="99">
        <f t="shared" si="9"/>
        <v>84.587004015497683</v>
      </c>
      <c r="J56" s="99">
        <f t="shared" si="9"/>
        <v>117.08024452106415</v>
      </c>
      <c r="K56" s="99">
        <f t="shared" si="9"/>
        <v>159.87026163981301</v>
      </c>
      <c r="L56" s="99">
        <f t="shared" si="9"/>
        <v>212.89189167087434</v>
      </c>
      <c r="M56" s="99">
        <f t="shared" si="9"/>
        <v>276.16204762529458</v>
      </c>
      <c r="N56" s="99">
        <f t="shared" si="9"/>
        <v>344.73940047620044</v>
      </c>
      <c r="O56" s="99"/>
      <c r="P56" s="99"/>
      <c r="Q56" s="99"/>
      <c r="R56" s="111"/>
      <c r="S56" s="155"/>
      <c r="T56" s="155"/>
      <c r="U56" s="155"/>
      <c r="V56" s="155"/>
      <c r="W56" s="155"/>
      <c r="X56" s="112"/>
      <c r="Y56" s="112"/>
      <c r="Z56" s="112"/>
      <c r="AA56" s="112"/>
      <c r="AB56"/>
      <c r="AC56"/>
      <c r="AD56"/>
      <c r="AE56"/>
      <c r="AF56"/>
      <c r="AG56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</row>
    <row r="57" spans="2:75" ht="15.75" thickBot="1" x14ac:dyDescent="0.3">
      <c r="B57" s="208"/>
      <c r="C57" s="90"/>
      <c r="D57" s="209" t="s">
        <v>302</v>
      </c>
      <c r="E57" s="209"/>
      <c r="F57" s="210">
        <f>F47+F56</f>
        <v>253.52704293981324</v>
      </c>
      <c r="G57" s="210">
        <f t="shared" ref="G57:N57" si="10">G47+G56</f>
        <v>245.84866969756288</v>
      </c>
      <c r="H57" s="210">
        <f t="shared" si="10"/>
        <v>252.61749824726962</v>
      </c>
      <c r="I57" s="210">
        <f t="shared" si="10"/>
        <v>261.53137279691134</v>
      </c>
      <c r="J57" s="210">
        <f t="shared" si="10"/>
        <v>281.00347009732286</v>
      </c>
      <c r="K57" s="210">
        <f t="shared" si="10"/>
        <v>310.87638849005515</v>
      </c>
      <c r="L57" s="210">
        <f t="shared" si="10"/>
        <v>351.08407555478436</v>
      </c>
      <c r="M57" s="210">
        <f t="shared" si="10"/>
        <v>401.64279295249207</v>
      </c>
      <c r="N57" s="210">
        <f t="shared" si="10"/>
        <v>453.73712404530221</v>
      </c>
      <c r="O57" s="210"/>
      <c r="P57" s="210"/>
      <c r="Q57" s="210"/>
      <c r="R57" s="211"/>
      <c r="S57" s="155"/>
      <c r="T57" s="155"/>
      <c r="U57" s="155"/>
      <c r="V57" s="155"/>
      <c r="W57" s="155"/>
      <c r="Y57" s="112"/>
      <c r="Z57" s="112"/>
      <c r="AB57"/>
      <c r="AC57"/>
      <c r="AD57"/>
      <c r="AE57"/>
      <c r="AF57"/>
      <c r="AG57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</row>
    <row r="58" spans="2:75" x14ac:dyDescent="0.25">
      <c r="B58" s="181"/>
      <c r="C58" s="72"/>
      <c r="D58" s="85" t="s">
        <v>303</v>
      </c>
      <c r="E58" s="73"/>
      <c r="F58" s="86"/>
      <c r="G58" s="86"/>
      <c r="H58" s="212"/>
      <c r="I58" s="86"/>
      <c r="J58" s="86"/>
      <c r="K58" s="86"/>
      <c r="L58" s="86"/>
      <c r="M58" s="86"/>
      <c r="N58" s="86"/>
      <c r="O58" s="86"/>
      <c r="P58" s="86"/>
      <c r="Q58" s="86"/>
      <c r="R58" s="110"/>
      <c r="S58" s="112"/>
      <c r="T58" s="112"/>
      <c r="U58" s="112"/>
      <c r="V58" s="112"/>
      <c r="W58" s="112"/>
      <c r="X58" s="112"/>
      <c r="AA58" s="112"/>
      <c r="AB58"/>
      <c r="AC58"/>
      <c r="AD58"/>
      <c r="AE58"/>
      <c r="AF58"/>
      <c r="AG58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</row>
    <row r="59" spans="2:75" x14ac:dyDescent="0.25">
      <c r="B59" s="192"/>
      <c r="C59" s="114"/>
      <c r="D59" s="103" t="s">
        <v>304</v>
      </c>
      <c r="E59" s="115"/>
      <c r="F59" s="213"/>
      <c r="G59" s="213"/>
      <c r="H59" s="213"/>
      <c r="I59" s="213"/>
      <c r="J59" s="213"/>
      <c r="K59" s="213"/>
      <c r="L59" s="214"/>
      <c r="M59" s="214"/>
      <c r="N59" s="214"/>
      <c r="O59" s="214"/>
      <c r="P59" s="214"/>
      <c r="Q59" s="214"/>
      <c r="R59" s="215"/>
      <c r="S59" s="216"/>
      <c r="T59" s="216"/>
      <c r="U59" s="216"/>
      <c r="V59" s="216"/>
      <c r="W59" s="216"/>
      <c r="AA59" s="112"/>
      <c r="AC59" s="86"/>
      <c r="AD59" s="169"/>
      <c r="AE59" s="169"/>
      <c r="AF59" s="169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</row>
    <row r="60" spans="2:75" x14ac:dyDescent="0.25">
      <c r="B60" s="191"/>
      <c r="C60" s="143">
        <v>26</v>
      </c>
      <c r="D60" s="145" t="s">
        <v>305</v>
      </c>
      <c r="E60" s="145"/>
      <c r="F60" s="146">
        <f>F57-SUM(F61:F86)-F92-F99-F101</f>
        <v>12.449085599883631</v>
      </c>
      <c r="G60" s="146">
        <f t="shared" ref="G60:N60" si="11">G57-SUM(G61:G86)-G92-G99-G101</f>
        <v>11.204572903605509</v>
      </c>
      <c r="H60" s="146">
        <f t="shared" si="11"/>
        <v>18.732817849925851</v>
      </c>
      <c r="I60" s="146">
        <f t="shared" si="11"/>
        <v>32.469872868700108</v>
      </c>
      <c r="J60" s="146">
        <f t="shared" si="11"/>
        <v>52.965517240696158</v>
      </c>
      <c r="K60" s="146">
        <f t="shared" si="11"/>
        <v>80.27375400186385</v>
      </c>
      <c r="L60" s="146">
        <f t="shared" si="11"/>
        <v>114.41863340226251</v>
      </c>
      <c r="M60" s="146">
        <f t="shared" si="11"/>
        <v>155.28433429215579</v>
      </c>
      <c r="N60" s="146">
        <f t="shared" si="11"/>
        <v>203.13966812690552</v>
      </c>
      <c r="O60" s="146"/>
      <c r="P60" s="146"/>
      <c r="Q60" s="146"/>
      <c r="R60" s="147"/>
      <c r="S60" s="112"/>
      <c r="T60" s="112"/>
      <c r="U60" s="112"/>
      <c r="V60" s="112"/>
      <c r="W60" s="112"/>
      <c r="X60" s="112"/>
      <c r="Z60" s="112"/>
      <c r="AA60" s="155"/>
      <c r="AB60" s="85"/>
      <c r="AC60" s="217"/>
      <c r="AD60" s="169"/>
      <c r="AE60" s="169"/>
      <c r="AF60" s="169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</row>
    <row r="61" spans="2:75" x14ac:dyDescent="0.25">
      <c r="B61" s="218"/>
      <c r="C61" s="124">
        <v>27</v>
      </c>
      <c r="D61" s="201"/>
      <c r="E61" s="201" t="s">
        <v>306</v>
      </c>
      <c r="F61" s="132"/>
      <c r="G61" s="132"/>
      <c r="H61" s="132"/>
      <c r="I61" s="132"/>
      <c r="J61" s="132"/>
      <c r="K61" s="132"/>
      <c r="L61" s="132"/>
      <c r="M61" s="132"/>
      <c r="N61" s="132"/>
      <c r="O61" s="132"/>
      <c r="P61" s="132"/>
      <c r="Q61" s="132"/>
      <c r="R61" s="133"/>
      <c r="S61" s="112"/>
      <c r="T61" s="112"/>
      <c r="U61" s="112"/>
      <c r="V61" s="112"/>
      <c r="W61" s="112"/>
      <c r="X61" s="112"/>
      <c r="Y61" s="203"/>
      <c r="Z61" s="112"/>
      <c r="AA61" s="139"/>
      <c r="AC61" s="86"/>
      <c r="AD61" s="169"/>
      <c r="AE61" s="169"/>
      <c r="AF61" s="169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</row>
    <row r="62" spans="2:75" x14ac:dyDescent="0.25">
      <c r="B62" s="181"/>
      <c r="C62" s="72"/>
      <c r="D62" s="201"/>
      <c r="E62" s="201" t="s">
        <v>307</v>
      </c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110"/>
      <c r="S62" s="112"/>
      <c r="T62" s="112"/>
      <c r="U62" s="112"/>
      <c r="V62" s="112"/>
      <c r="W62" s="112"/>
      <c r="X62" s="112"/>
      <c r="Y62" s="112"/>
      <c r="Z62" s="112"/>
      <c r="AC62" s="86"/>
      <c r="AD62" s="169"/>
      <c r="AE62" s="169"/>
      <c r="AF62" s="169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</row>
    <row r="63" spans="2:75" x14ac:dyDescent="0.25">
      <c r="B63" s="181"/>
      <c r="C63" s="72"/>
      <c r="D63" s="201" t="s">
        <v>308</v>
      </c>
      <c r="E63" s="201" t="s">
        <v>309</v>
      </c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110"/>
      <c r="S63" s="112"/>
      <c r="T63" s="112"/>
      <c r="U63" s="112"/>
      <c r="V63" s="112"/>
      <c r="W63" s="112"/>
      <c r="X63" s="112"/>
      <c r="Y63" s="112"/>
      <c r="Z63" s="112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</row>
    <row r="64" spans="2:75" x14ac:dyDescent="0.25">
      <c r="B64" s="181"/>
      <c r="C64" s="72"/>
      <c r="D64" s="201"/>
      <c r="E64" s="201" t="s">
        <v>310</v>
      </c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110"/>
      <c r="S64" s="112"/>
      <c r="T64" s="112"/>
      <c r="U64" s="112"/>
      <c r="V64" s="112"/>
      <c r="W64" s="112"/>
      <c r="X64" s="112"/>
      <c r="Y64" s="112"/>
      <c r="Z64" s="112"/>
      <c r="AA64" s="112"/>
      <c r="AC64" s="219"/>
      <c r="AD64" s="219"/>
      <c r="AE64" s="219"/>
      <c r="AF64" s="219"/>
      <c r="AG64" s="220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</row>
    <row r="65" spans="2:75" x14ac:dyDescent="0.25">
      <c r="B65" s="181"/>
      <c r="C65" s="72"/>
      <c r="D65" s="201" t="s">
        <v>311</v>
      </c>
      <c r="E65" s="201" t="s">
        <v>312</v>
      </c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110"/>
      <c r="S65" s="112"/>
      <c r="T65" s="112"/>
      <c r="U65" s="112"/>
      <c r="V65" s="112"/>
      <c r="W65" s="112"/>
      <c r="X65" s="112"/>
      <c r="Y65" s="112"/>
      <c r="Z65" s="112"/>
      <c r="AA65" s="112"/>
      <c r="AC65" s="86"/>
      <c r="AD65" s="169"/>
      <c r="AE65" s="169"/>
      <c r="AF65" s="169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  <c r="BE65" s="74"/>
      <c r="BF65" s="74"/>
      <c r="BG65" s="74"/>
      <c r="BH65" s="74"/>
      <c r="BI65" s="74"/>
      <c r="BJ65" s="74"/>
      <c r="BK65" s="74"/>
      <c r="BL65" s="74"/>
      <c r="BM65" s="74"/>
      <c r="BN65" s="74"/>
      <c r="BO65" s="74"/>
      <c r="BP65" s="74"/>
      <c r="BQ65" s="74"/>
      <c r="BR65" s="74"/>
      <c r="BS65" s="74"/>
      <c r="BT65" s="74"/>
      <c r="BU65" s="74"/>
      <c r="BV65" s="74"/>
      <c r="BW65" s="74"/>
    </row>
    <row r="66" spans="2:75" x14ac:dyDescent="0.25">
      <c r="B66" s="218"/>
      <c r="C66" s="124">
        <v>28</v>
      </c>
      <c r="D66" s="221" t="s">
        <v>308</v>
      </c>
      <c r="E66" s="221" t="s">
        <v>313</v>
      </c>
      <c r="F66" s="222">
        <f>+WC!D18</f>
        <v>43.661268780048083</v>
      </c>
      <c r="G66" s="222">
        <f>+WC!E18</f>
        <v>53.606884840745202</v>
      </c>
      <c r="H66" s="222">
        <f>+WC!F18</f>
        <v>63.241147178297759</v>
      </c>
      <c r="I66" s="222">
        <f>+WC!G18</f>
        <v>68.569953126050521</v>
      </c>
      <c r="J66" s="222">
        <f>+WC!H18</f>
        <v>73.941358889899547</v>
      </c>
      <c r="K66" s="222">
        <f>+WC!I18</f>
        <v>79.422892578782424</v>
      </c>
      <c r="L66" s="222">
        <f>+WC!J18</f>
        <v>85.016560820149479</v>
      </c>
      <c r="M66" s="222">
        <f>+WC!K18</f>
        <v>90.724403199648975</v>
      </c>
      <c r="N66" s="222">
        <f>+WC!L18</f>
        <v>91.788163506416637</v>
      </c>
      <c r="O66" s="222"/>
      <c r="P66" s="222"/>
      <c r="Q66" s="132"/>
      <c r="R66" s="133"/>
      <c r="S66" s="112"/>
      <c r="T66" s="112"/>
      <c r="U66" s="112"/>
      <c r="V66" s="112"/>
      <c r="W66" s="112"/>
      <c r="X66" s="112"/>
      <c r="Y66" s="112"/>
      <c r="Z66" s="112"/>
      <c r="AA66" s="112"/>
      <c r="AC66" s="86"/>
      <c r="AD66" s="169"/>
      <c r="AE66" s="169"/>
      <c r="AF66" s="169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/>
      <c r="BW66" s="74"/>
    </row>
    <row r="67" spans="2:75" x14ac:dyDescent="0.25">
      <c r="B67" s="181"/>
      <c r="C67" s="72"/>
      <c r="D67" s="201"/>
      <c r="E67" s="201" t="s">
        <v>314</v>
      </c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110"/>
      <c r="S67" s="112"/>
      <c r="T67" s="112"/>
      <c r="U67" s="112"/>
      <c r="V67" s="112"/>
      <c r="W67" s="112"/>
      <c r="X67" s="112"/>
      <c r="Y67" s="112"/>
      <c r="Z67" s="112"/>
      <c r="AA67" s="112"/>
      <c r="AC67" s="86"/>
      <c r="AD67" s="169"/>
      <c r="AE67" s="169"/>
      <c r="AF67" s="169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74"/>
      <c r="BT67" s="74"/>
      <c r="BU67" s="74"/>
      <c r="BV67" s="74"/>
      <c r="BW67" s="74"/>
    </row>
    <row r="68" spans="2:75" x14ac:dyDescent="0.25">
      <c r="B68" s="181"/>
      <c r="C68" s="72"/>
      <c r="D68" s="201"/>
      <c r="E68" s="201" t="s">
        <v>315</v>
      </c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110"/>
      <c r="S68" s="112"/>
      <c r="T68" s="112"/>
      <c r="U68" s="112"/>
      <c r="V68" s="112"/>
      <c r="W68" s="112"/>
      <c r="X68" s="223"/>
      <c r="Y68" s="112"/>
      <c r="Z68" s="112"/>
      <c r="AA68" s="112"/>
      <c r="AC68" s="86"/>
      <c r="AD68" s="169"/>
      <c r="AE68" s="169"/>
      <c r="AF68" s="169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W68" s="74"/>
    </row>
    <row r="69" spans="2:75" x14ac:dyDescent="0.25">
      <c r="B69" s="181"/>
      <c r="C69" s="72"/>
      <c r="D69" s="201" t="s">
        <v>195</v>
      </c>
      <c r="E69" s="201" t="s">
        <v>316</v>
      </c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5"/>
      <c r="S69" s="168"/>
      <c r="T69" s="168"/>
      <c r="U69" s="168"/>
      <c r="V69" s="168"/>
      <c r="W69" s="168"/>
      <c r="X69" s="112"/>
      <c r="Y69" s="112"/>
      <c r="Z69" s="112"/>
      <c r="AA69" s="112"/>
      <c r="AC69" s="86"/>
      <c r="AD69" s="169"/>
      <c r="AE69" s="169"/>
      <c r="AF69" s="169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</row>
    <row r="70" spans="2:75" x14ac:dyDescent="0.25">
      <c r="B70" s="181"/>
      <c r="C70" s="72"/>
      <c r="D70" s="201"/>
      <c r="E70" s="201" t="s">
        <v>317</v>
      </c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110"/>
      <c r="S70" s="112"/>
      <c r="T70" s="112"/>
      <c r="U70" s="112"/>
      <c r="V70" s="112"/>
      <c r="W70" s="112"/>
      <c r="X70" s="112"/>
      <c r="Y70" s="112"/>
      <c r="Z70" s="112"/>
      <c r="AA70" s="112"/>
      <c r="AC70" s="86"/>
      <c r="AD70" s="169"/>
      <c r="AE70" s="169"/>
      <c r="AF70" s="169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  <c r="BJ70" s="74"/>
      <c r="BK70" s="74"/>
      <c r="BL70" s="74"/>
      <c r="BM70" s="74"/>
      <c r="BN70" s="74"/>
      <c r="BO70" s="74"/>
      <c r="BP70" s="74"/>
      <c r="BQ70" s="74"/>
      <c r="BR70" s="74"/>
      <c r="BS70" s="74"/>
      <c r="BT70" s="74"/>
      <c r="BU70" s="74"/>
      <c r="BV70" s="74"/>
      <c r="BW70" s="74"/>
    </row>
    <row r="71" spans="2:75" x14ac:dyDescent="0.25">
      <c r="B71" s="192"/>
      <c r="C71" s="114"/>
      <c r="D71" s="226"/>
      <c r="E71" s="226" t="s">
        <v>318</v>
      </c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7"/>
      <c r="S71" s="112"/>
      <c r="T71" s="112"/>
      <c r="U71" s="112"/>
      <c r="V71" s="112"/>
      <c r="W71" s="112"/>
      <c r="X71" s="112"/>
      <c r="Y71" s="112"/>
      <c r="Z71" s="112"/>
      <c r="AA71" s="112"/>
      <c r="AC71" s="86"/>
      <c r="AD71" s="169"/>
      <c r="AE71" s="169"/>
      <c r="AF71" s="169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/>
      <c r="BQ71" s="74"/>
      <c r="BR71" s="74"/>
      <c r="BS71" s="74"/>
      <c r="BT71" s="74"/>
      <c r="BU71" s="74"/>
      <c r="BV71" s="74"/>
      <c r="BW71" s="74"/>
    </row>
    <row r="72" spans="2:75" x14ac:dyDescent="0.25">
      <c r="B72" s="218"/>
      <c r="C72" s="125">
        <v>29</v>
      </c>
      <c r="D72" s="125"/>
      <c r="E72" s="221" t="s">
        <v>319</v>
      </c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3"/>
      <c r="S72" s="112"/>
      <c r="T72" s="112"/>
      <c r="U72" s="112"/>
      <c r="V72" s="112"/>
      <c r="W72" s="112"/>
      <c r="X72" s="112"/>
      <c r="Y72" s="112"/>
      <c r="Z72" s="112"/>
      <c r="AA72" s="112"/>
      <c r="AC72" s="86"/>
      <c r="AD72" s="169"/>
      <c r="AE72" s="169"/>
      <c r="AF72" s="169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/>
      <c r="BU72" s="74"/>
      <c r="BV72" s="74"/>
      <c r="BW72" s="74"/>
    </row>
    <row r="73" spans="2:75" x14ac:dyDescent="0.25">
      <c r="B73" s="192"/>
      <c r="C73" s="115"/>
      <c r="D73" s="115"/>
      <c r="E73" s="226" t="s">
        <v>274</v>
      </c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7"/>
      <c r="S73" s="112"/>
      <c r="T73" s="112"/>
      <c r="U73" s="112"/>
      <c r="V73" s="112"/>
      <c r="W73" s="112"/>
      <c r="X73" s="112"/>
      <c r="Y73" s="112"/>
      <c r="Z73" s="112"/>
      <c r="AA73" s="112"/>
      <c r="AC73" s="86"/>
      <c r="AD73" s="169"/>
      <c r="AE73" s="169"/>
      <c r="AF73" s="169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  <c r="BE73" s="74"/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</row>
    <row r="74" spans="2:75" x14ac:dyDescent="0.25">
      <c r="B74" s="181"/>
      <c r="C74" s="73">
        <v>30</v>
      </c>
      <c r="D74" s="73"/>
      <c r="E74" s="73" t="s">
        <v>320</v>
      </c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110"/>
      <c r="S74" s="112"/>
      <c r="T74" s="112"/>
      <c r="U74" s="112"/>
      <c r="V74" s="112"/>
      <c r="W74" s="112"/>
      <c r="X74" s="112"/>
      <c r="Y74" s="112"/>
      <c r="Z74" s="112"/>
      <c r="AA74" s="112"/>
      <c r="AC74" s="86"/>
      <c r="AD74" s="169"/>
      <c r="AE74" s="169"/>
      <c r="AF74" s="169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/>
      <c r="BK74" s="74"/>
      <c r="BL74" s="74"/>
      <c r="BM74" s="74"/>
      <c r="BN74" s="74"/>
      <c r="BO74" s="74"/>
      <c r="BP74" s="74"/>
      <c r="BQ74" s="74"/>
      <c r="BR74" s="74"/>
      <c r="BS74" s="74"/>
      <c r="BT74" s="74"/>
      <c r="BU74" s="74"/>
      <c r="BV74" s="74"/>
      <c r="BW74" s="74"/>
    </row>
    <row r="75" spans="2:75" x14ac:dyDescent="0.25">
      <c r="B75" s="181"/>
      <c r="C75" s="72"/>
      <c r="D75" s="73" t="s">
        <v>321</v>
      </c>
      <c r="E75" s="73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110"/>
      <c r="S75" s="112"/>
      <c r="T75" s="112"/>
      <c r="U75" s="112"/>
      <c r="V75" s="112"/>
      <c r="W75" s="112"/>
      <c r="X75" s="112"/>
      <c r="Y75" s="112"/>
      <c r="Z75" s="112"/>
      <c r="AA75" s="112"/>
      <c r="AC75" s="86"/>
      <c r="AD75" s="169"/>
      <c r="AE75" s="169"/>
      <c r="AF75" s="169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</row>
    <row r="76" spans="2:75" x14ac:dyDescent="0.25">
      <c r="B76" s="181"/>
      <c r="C76" s="72"/>
      <c r="D76" s="73" t="s">
        <v>188</v>
      </c>
      <c r="E76" s="73" t="s">
        <v>206</v>
      </c>
      <c r="F76" s="86">
        <f>+WC!D9</f>
        <v>12.64879941620879</v>
      </c>
      <c r="G76" s="86">
        <f>+WC!E9</f>
        <v>15.291252211195058</v>
      </c>
      <c r="H76" s="86">
        <f>+WC!F9</f>
        <v>17.985289182139422</v>
      </c>
      <c r="I76" s="86">
        <f>+WC!G9</f>
        <v>19.448409920621188</v>
      </c>
      <c r="J76" s="86">
        <f>+WC!H9</f>
        <v>20.938994544954376</v>
      </c>
      <c r="K76" s="86">
        <f>+WC!I9</f>
        <v>22.457446020782164</v>
      </c>
      <c r="L76" s="86">
        <f>+WC!J9</f>
        <v>24.004172626672013</v>
      </c>
      <c r="M76" s="86">
        <f>+WC!K9</f>
        <v>25.579588020077583</v>
      </c>
      <c r="N76" s="86">
        <f>+WC!L9</f>
        <v>25.835383900278362</v>
      </c>
      <c r="O76" s="86"/>
      <c r="P76" s="86"/>
      <c r="Q76" s="86"/>
      <c r="R76" s="110"/>
      <c r="S76" s="112"/>
      <c r="T76" s="112"/>
      <c r="U76" s="112"/>
      <c r="V76" s="112"/>
      <c r="W76" s="112"/>
      <c r="X76" s="112"/>
      <c r="Y76" s="112"/>
      <c r="Z76" s="112"/>
      <c r="AA76" s="112"/>
      <c r="AC76" s="86"/>
      <c r="AD76" s="169"/>
      <c r="AE76" s="169"/>
      <c r="AF76" s="169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/>
      <c r="BQ76" s="74"/>
      <c r="BR76" s="74"/>
      <c r="BS76" s="74"/>
      <c r="BT76" s="74"/>
      <c r="BU76" s="74"/>
      <c r="BV76" s="74"/>
      <c r="BW76" s="74"/>
    </row>
    <row r="77" spans="2:75" x14ac:dyDescent="0.25">
      <c r="B77" s="181"/>
      <c r="C77" s="72"/>
      <c r="D77" s="73" t="s">
        <v>195</v>
      </c>
      <c r="E77" s="73" t="s">
        <v>322</v>
      </c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86"/>
      <c r="R77" s="110"/>
      <c r="S77" s="112"/>
      <c r="T77" s="112"/>
      <c r="U77" s="112"/>
      <c r="V77" s="112"/>
      <c r="W77" s="112"/>
      <c r="X77" s="112"/>
      <c r="Y77" s="112"/>
      <c r="Z77" s="112"/>
      <c r="AA77" s="112"/>
      <c r="AC77" s="86"/>
      <c r="AD77" s="169"/>
      <c r="AE77" s="169"/>
      <c r="AF77" s="169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  <c r="BD77" s="74"/>
      <c r="BE77" s="74"/>
      <c r="BF77" s="74"/>
      <c r="BG77" s="74"/>
      <c r="BH77" s="74"/>
      <c r="BI77" s="74"/>
      <c r="BJ77" s="74"/>
      <c r="BK77" s="74"/>
      <c r="BL77" s="74"/>
      <c r="BM77" s="74"/>
      <c r="BN77" s="74"/>
      <c r="BO77" s="74"/>
      <c r="BP77" s="74"/>
      <c r="BQ77" s="74"/>
      <c r="BR77" s="74"/>
      <c r="BS77" s="74"/>
      <c r="BT77" s="74"/>
      <c r="BU77" s="74"/>
      <c r="BV77" s="74"/>
      <c r="BW77" s="74"/>
    </row>
    <row r="78" spans="2:75" x14ac:dyDescent="0.25">
      <c r="B78" s="181"/>
      <c r="C78" s="72"/>
      <c r="D78" s="73" t="s">
        <v>323</v>
      </c>
      <c r="E78" s="73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110"/>
      <c r="S78" s="112"/>
      <c r="T78" s="112"/>
      <c r="U78" s="112"/>
      <c r="V78" s="112"/>
      <c r="W78" s="112"/>
      <c r="X78" s="112"/>
      <c r="Y78" s="112"/>
      <c r="Z78" s="112"/>
      <c r="AA78" s="112"/>
      <c r="AC78" s="86"/>
      <c r="AD78" s="169"/>
      <c r="AE78" s="169"/>
      <c r="AF78" s="169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</row>
    <row r="79" spans="2:75" x14ac:dyDescent="0.25">
      <c r="B79" s="181"/>
      <c r="C79" s="72"/>
      <c r="D79" s="73" t="s">
        <v>324</v>
      </c>
      <c r="E79" s="73"/>
      <c r="F79" s="86">
        <f>+WC!D12</f>
        <v>17.319823718952957</v>
      </c>
      <c r="G79" s="86">
        <f>+WC!E12</f>
        <v>21.018677024191117</v>
      </c>
      <c r="H79" s="86">
        <f>+WC!F12</f>
        <v>24.579646111585987</v>
      </c>
      <c r="I79" s="86">
        <f>+WC!G12</f>
        <v>26.518186121043186</v>
      </c>
      <c r="J79" s="86">
        <f>+WC!H12</f>
        <v>28.477787813965989</v>
      </c>
      <c r="K79" s="86">
        <f>+WC!I12</f>
        <v>30.483808670254163</v>
      </c>
      <c r="L79" s="86">
        <f>+WC!J12</f>
        <v>32.535593733119065</v>
      </c>
      <c r="M79" s="86">
        <f>+WC!K12</f>
        <v>34.632328250952092</v>
      </c>
      <c r="N79" s="86">
        <f>+WC!L12</f>
        <v>34.983843064628125</v>
      </c>
      <c r="O79" s="86"/>
      <c r="P79" s="86"/>
      <c r="Q79" s="86"/>
      <c r="R79" s="110"/>
      <c r="S79" s="112"/>
      <c r="T79" s="201"/>
      <c r="U79" s="227"/>
      <c r="V79" s="202"/>
      <c r="W79" s="112"/>
      <c r="X79" s="112"/>
      <c r="Y79" s="112"/>
      <c r="Z79" s="112"/>
      <c r="AA79" s="112"/>
      <c r="AC79" s="86"/>
      <c r="AD79" s="169"/>
      <c r="AE79" s="169"/>
      <c r="AF79" s="169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  <c r="BD79" s="74"/>
      <c r="BE79" s="74"/>
      <c r="BF79" s="74"/>
      <c r="BG79" s="74"/>
      <c r="BH79" s="74"/>
      <c r="BI79" s="74"/>
      <c r="BJ79" s="74"/>
      <c r="BK79" s="74"/>
      <c r="BL79" s="74"/>
      <c r="BM79" s="74"/>
      <c r="BN79" s="74"/>
      <c r="BO79" s="74"/>
      <c r="BP79" s="74"/>
      <c r="BQ79" s="74"/>
      <c r="BR79" s="74"/>
      <c r="BS79" s="74"/>
      <c r="BT79" s="74"/>
      <c r="BU79" s="74"/>
      <c r="BV79" s="74"/>
      <c r="BW79" s="74"/>
    </row>
    <row r="80" spans="2:75" x14ac:dyDescent="0.25">
      <c r="B80" s="181"/>
      <c r="C80" s="72"/>
      <c r="D80" s="73" t="s">
        <v>325</v>
      </c>
      <c r="E80" s="73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110"/>
      <c r="S80" s="112"/>
      <c r="T80" s="201"/>
      <c r="U80" s="227"/>
      <c r="V80" s="202"/>
      <c r="W80" s="112"/>
      <c r="X80" s="112"/>
      <c r="Y80" s="112"/>
      <c r="Z80" s="112"/>
      <c r="AA80" s="112"/>
      <c r="AC80" s="86"/>
      <c r="AD80" s="169"/>
      <c r="AE80" s="169"/>
      <c r="AF80" s="169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74"/>
      <c r="BN80" s="74"/>
      <c r="BO80" s="74"/>
      <c r="BP80" s="74"/>
      <c r="BQ80" s="74"/>
      <c r="BR80" s="74"/>
      <c r="BS80" s="74"/>
      <c r="BT80" s="74"/>
      <c r="BU80" s="74"/>
      <c r="BV80" s="74"/>
      <c r="BW80" s="74"/>
    </row>
    <row r="81" spans="2:75" x14ac:dyDescent="0.25">
      <c r="B81" s="181"/>
      <c r="C81" s="72"/>
      <c r="D81" s="73" t="s">
        <v>188</v>
      </c>
      <c r="E81" s="73" t="s">
        <v>206</v>
      </c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110"/>
      <c r="S81" s="112"/>
      <c r="T81" s="201"/>
      <c r="U81" s="227"/>
      <c r="V81" s="202"/>
      <c r="W81" s="112"/>
      <c r="X81" s="112"/>
      <c r="Y81" s="112"/>
      <c r="Z81" s="112"/>
      <c r="AA81" s="112"/>
      <c r="AC81" s="86"/>
      <c r="AD81" s="169"/>
      <c r="AE81" s="169"/>
      <c r="AF81" s="169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/>
      <c r="BC81" s="74"/>
      <c r="BD81" s="74"/>
      <c r="BE81" s="74"/>
      <c r="BF81" s="74"/>
      <c r="BG81" s="74"/>
      <c r="BH81" s="74"/>
      <c r="BI81" s="74"/>
      <c r="BJ81" s="74"/>
      <c r="BK81" s="74"/>
      <c r="BL81" s="74"/>
      <c r="BM81" s="74"/>
      <c r="BN81" s="74"/>
      <c r="BO81" s="74"/>
      <c r="BP81" s="74"/>
      <c r="BQ81" s="74"/>
      <c r="BR81" s="74"/>
      <c r="BS81" s="74"/>
      <c r="BT81" s="74"/>
      <c r="BU81" s="74"/>
      <c r="BV81" s="74"/>
      <c r="BW81" s="74"/>
    </row>
    <row r="82" spans="2:75" x14ac:dyDescent="0.25">
      <c r="B82" s="192"/>
      <c r="C82" s="114"/>
      <c r="D82" s="115" t="s">
        <v>195</v>
      </c>
      <c r="E82" s="115" t="s">
        <v>322</v>
      </c>
      <c r="F82" s="116">
        <f>+WC!D15</f>
        <v>0.2109375</v>
      </c>
      <c r="G82" s="116">
        <f>+WC!E15</f>
        <v>0.25565624999999997</v>
      </c>
      <c r="H82" s="116">
        <f>+WC!F15</f>
        <v>0.30124828124999997</v>
      </c>
      <c r="I82" s="116">
        <f>+WC!G15</f>
        <v>0.32599367578125005</v>
      </c>
      <c r="J82" s="116">
        <f>+WC!H15</f>
        <v>0.35120385337499999</v>
      </c>
      <c r="K82" s="116">
        <f>+WC!I15</f>
        <v>0.37688563515304696</v>
      </c>
      <c r="L82" s="116">
        <f>+WC!J15</f>
        <v>0.40304593218131729</v>
      </c>
      <c r="M82" s="116">
        <f>+WC!K15</f>
        <v>0.42969174658663767</v>
      </c>
      <c r="N82" s="116">
        <f>+WC!L15</f>
        <v>0.43398866405250408</v>
      </c>
      <c r="O82" s="116"/>
      <c r="P82" s="116"/>
      <c r="Q82" s="116"/>
      <c r="R82" s="117"/>
      <c r="S82" s="112"/>
      <c r="T82" s="201"/>
      <c r="U82" s="227"/>
      <c r="V82" s="202"/>
      <c r="W82" s="112"/>
      <c r="X82" s="112"/>
      <c r="Y82" s="112"/>
      <c r="Z82" s="112"/>
      <c r="AA82" s="112"/>
      <c r="AC82" s="86"/>
      <c r="AD82" s="169"/>
      <c r="AE82" s="169"/>
      <c r="AF82" s="169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</row>
    <row r="83" spans="2:75" x14ac:dyDescent="0.25">
      <c r="B83" s="181"/>
      <c r="C83" s="72">
        <v>31</v>
      </c>
      <c r="D83" s="201" t="s">
        <v>326</v>
      </c>
      <c r="E83" s="73"/>
      <c r="F83" s="132">
        <f>+RM!D46*1%</f>
        <v>10.24552752712912</v>
      </c>
      <c r="G83" s="132">
        <f>+RM!E46*1%</f>
        <v>12.259426296905911</v>
      </c>
      <c r="H83" s="132">
        <f>+RM!F46*1%</f>
        <v>14.415171715420982</v>
      </c>
      <c r="I83" s="132">
        <f>+RM!G46*1%</f>
        <v>15.573359143881767</v>
      </c>
      <c r="J83" s="132">
        <f>+RM!H46*1%</f>
        <v>16.766101482206835</v>
      </c>
      <c r="K83" s="132">
        <f>+RM!I46*1%</f>
        <v>17.981141331384009</v>
      </c>
      <c r="L83" s="132">
        <f>+RM!J46*1%</f>
        <v>19.218805367396513</v>
      </c>
      <c r="M83" s="132">
        <f>+RM!K46*1%</f>
        <v>20.479424569996123</v>
      </c>
      <c r="N83" s="132">
        <f>+RM!L46*1%</f>
        <v>20.670865079024697</v>
      </c>
      <c r="O83" s="132"/>
      <c r="P83" s="132"/>
      <c r="Q83" s="86"/>
      <c r="R83" s="110"/>
      <c r="S83" s="112"/>
      <c r="T83" s="201"/>
      <c r="U83" s="227"/>
      <c r="V83" s="202"/>
      <c r="W83" s="112"/>
      <c r="X83" s="112"/>
      <c r="Y83" s="112"/>
      <c r="Z83" s="112"/>
      <c r="AA83" s="112"/>
      <c r="AC83" s="86"/>
      <c r="AD83" s="169"/>
      <c r="AE83" s="169"/>
      <c r="AF83" s="169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  <c r="BD83" s="74"/>
      <c r="BE83" s="74"/>
      <c r="BF83" s="74"/>
      <c r="BG83" s="74"/>
      <c r="BH83" s="74"/>
      <c r="BI83" s="74"/>
      <c r="BJ83" s="74"/>
      <c r="BK83" s="74"/>
      <c r="BL83" s="74"/>
      <c r="BM83" s="74"/>
      <c r="BN83" s="74"/>
      <c r="BO83" s="74"/>
      <c r="BP83" s="74"/>
      <c r="BQ83" s="74"/>
      <c r="BR83" s="74"/>
      <c r="BS83" s="74"/>
      <c r="BT83" s="74"/>
      <c r="BU83" s="74"/>
      <c r="BV83" s="74"/>
      <c r="BW83" s="74"/>
    </row>
    <row r="84" spans="2:75" x14ac:dyDescent="0.25">
      <c r="B84" s="181"/>
      <c r="C84" s="72"/>
      <c r="D84" s="201" t="s">
        <v>327</v>
      </c>
      <c r="E84" s="73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110"/>
      <c r="S84" s="112"/>
      <c r="T84" s="112"/>
      <c r="U84" s="112"/>
      <c r="V84" s="112"/>
      <c r="W84" s="112"/>
      <c r="X84" s="112"/>
      <c r="Y84" s="112"/>
      <c r="Z84" s="112"/>
      <c r="AA84" s="112"/>
      <c r="AC84" s="86"/>
      <c r="AD84" s="169"/>
      <c r="AE84" s="169"/>
      <c r="AF84" s="169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</row>
    <row r="85" spans="2:75" x14ac:dyDescent="0.25">
      <c r="B85" s="181"/>
      <c r="C85" s="72">
        <v>32</v>
      </c>
      <c r="D85" s="201" t="s">
        <v>328</v>
      </c>
      <c r="E85" s="73"/>
      <c r="F85" s="86">
        <f>+PL!F54*0.5</f>
        <v>0</v>
      </c>
      <c r="G85" s="86">
        <f>+PL!G54*0.5</f>
        <v>0</v>
      </c>
      <c r="H85" s="86">
        <f>+PL!H54*0.5</f>
        <v>1.0545413758085691</v>
      </c>
      <c r="I85" s="86">
        <f>+PL!I54*0.5</f>
        <v>2.0383441479324675</v>
      </c>
      <c r="J85" s="86">
        <f>+PL!J54*0.5</f>
        <v>3.002929809756143</v>
      </c>
      <c r="K85" s="86">
        <f>+PL!K54*0.5</f>
        <v>3.9545276484151781</v>
      </c>
      <c r="L85" s="86">
        <f>+PL!L54*0.5</f>
        <v>4.9001032493160936</v>
      </c>
      <c r="M85" s="86">
        <f>+PL!M54*0.5</f>
        <v>5.8472419010009196</v>
      </c>
      <c r="N85" s="86">
        <f>+PL!N54*0.5</f>
        <v>6.3377174435671373</v>
      </c>
      <c r="O85" s="86"/>
      <c r="P85" s="86"/>
      <c r="Q85" s="86"/>
      <c r="R85" s="110"/>
      <c r="S85" s="112"/>
      <c r="T85" s="112"/>
      <c r="U85" s="112"/>
      <c r="V85" s="112"/>
      <c r="W85" s="112"/>
      <c r="X85" s="112"/>
      <c r="Y85" s="112"/>
      <c r="Z85" s="112"/>
      <c r="AA85" s="112"/>
      <c r="AC85" s="86"/>
      <c r="AD85" s="169"/>
      <c r="AE85" s="169"/>
      <c r="AF85" s="169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/>
      <c r="BC85" s="74"/>
      <c r="BD85" s="74"/>
      <c r="BE85" s="74"/>
      <c r="BF85" s="74"/>
      <c r="BG85" s="74"/>
      <c r="BH85" s="74"/>
      <c r="BI85" s="74"/>
      <c r="BJ85" s="74"/>
      <c r="BK85" s="74"/>
      <c r="BL85" s="74"/>
      <c r="BM85" s="74"/>
      <c r="BN85" s="74"/>
      <c r="BO85" s="74"/>
      <c r="BP85" s="74"/>
      <c r="BQ85" s="74"/>
      <c r="BR85" s="74"/>
      <c r="BS85" s="74"/>
      <c r="BT85" s="74"/>
      <c r="BU85" s="74"/>
      <c r="BV85" s="74"/>
      <c r="BW85" s="74"/>
    </row>
    <row r="86" spans="2:75" x14ac:dyDescent="0.25">
      <c r="B86" s="181"/>
      <c r="C86" s="72">
        <v>33</v>
      </c>
      <c r="D86" s="73" t="s">
        <v>329</v>
      </c>
      <c r="E86" s="73"/>
      <c r="F86" s="86">
        <v>2</v>
      </c>
      <c r="G86" s="86">
        <f>F86*1.4</f>
        <v>2.8</v>
      </c>
      <c r="H86" s="86">
        <f t="shared" ref="H86:N86" si="12">G86*1.4</f>
        <v>3.9199999999999995</v>
      </c>
      <c r="I86" s="86">
        <f t="shared" si="12"/>
        <v>5.4879999999999987</v>
      </c>
      <c r="J86" s="86">
        <f t="shared" si="12"/>
        <v>7.6831999999999976</v>
      </c>
      <c r="K86" s="86">
        <f t="shared" si="12"/>
        <v>10.756479999999996</v>
      </c>
      <c r="L86" s="86">
        <f t="shared" si="12"/>
        <v>15.059071999999993</v>
      </c>
      <c r="M86" s="86">
        <f t="shared" si="12"/>
        <v>21.082700799999991</v>
      </c>
      <c r="N86" s="86">
        <f t="shared" si="12"/>
        <v>29.515781119999986</v>
      </c>
      <c r="O86" s="86"/>
      <c r="P86" s="86"/>
      <c r="Q86" s="86"/>
      <c r="R86" s="110"/>
      <c r="S86" s="112"/>
      <c r="T86" s="201"/>
      <c r="U86" s="201"/>
      <c r="V86" s="202"/>
      <c r="W86" s="112"/>
      <c r="X86" s="112"/>
      <c r="Y86" s="112"/>
      <c r="Z86" s="112"/>
      <c r="AA86" s="112"/>
      <c r="AC86" s="86"/>
      <c r="AD86" s="169"/>
      <c r="AE86" s="169"/>
      <c r="AF86" s="169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W86" s="74"/>
      <c r="AX86" s="74"/>
      <c r="AY86" s="74"/>
      <c r="AZ86" s="74"/>
      <c r="BA86" s="74"/>
      <c r="BB86" s="74"/>
      <c r="BC86" s="74"/>
      <c r="BD86" s="74"/>
      <c r="BE86" s="74"/>
      <c r="BF86" s="74"/>
      <c r="BG86" s="74"/>
      <c r="BH86" s="74"/>
      <c r="BI86" s="74"/>
      <c r="BJ86" s="74"/>
      <c r="BK86" s="74"/>
      <c r="BL86" s="74"/>
      <c r="BM86" s="74"/>
      <c r="BN86" s="74"/>
      <c r="BO86" s="74"/>
      <c r="BP86" s="74"/>
      <c r="BQ86" s="74"/>
      <c r="BR86" s="74"/>
      <c r="BS86" s="74"/>
      <c r="BT86" s="74"/>
      <c r="BU86" s="74"/>
      <c r="BV86" s="74"/>
      <c r="BW86" s="74"/>
    </row>
    <row r="87" spans="2:75" x14ac:dyDescent="0.25">
      <c r="B87" s="181"/>
      <c r="C87" s="100"/>
      <c r="D87" s="73"/>
      <c r="E87" s="73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110"/>
      <c r="S87" s="112"/>
      <c r="T87" s="201"/>
      <c r="U87" s="201"/>
      <c r="V87" s="202"/>
      <c r="W87" s="112"/>
      <c r="Y87" s="112"/>
      <c r="Z87" s="112"/>
      <c r="AA87" s="112"/>
      <c r="AC87" s="86"/>
      <c r="AD87" s="169"/>
      <c r="AE87" s="169"/>
      <c r="AF87" s="169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74"/>
      <c r="BT87" s="74"/>
      <c r="BU87" s="74"/>
      <c r="BV87" s="74"/>
      <c r="BW87" s="74"/>
    </row>
    <row r="88" spans="2:75" x14ac:dyDescent="0.25">
      <c r="B88" s="218"/>
      <c r="C88" s="124">
        <v>34</v>
      </c>
      <c r="D88" s="228" t="s">
        <v>330</v>
      </c>
      <c r="E88" s="228"/>
      <c r="F88" s="118">
        <f>SUM(F60:F86)</f>
        <v>98.535442542222597</v>
      </c>
      <c r="G88" s="118">
        <f t="shared" ref="G88:N88" si="13">SUM(G60:G86)</f>
        <v>116.43646952664281</v>
      </c>
      <c r="H88" s="118">
        <f t="shared" si="13"/>
        <v>144.22986169442856</v>
      </c>
      <c r="I88" s="118">
        <f t="shared" si="13"/>
        <v>170.4321190040105</v>
      </c>
      <c r="J88" s="118">
        <f t="shared" si="13"/>
        <v>204.12709363485408</v>
      </c>
      <c r="K88" s="118">
        <f t="shared" si="13"/>
        <v>245.70693588663482</v>
      </c>
      <c r="L88" s="118">
        <f t="shared" si="13"/>
        <v>295.55598713109703</v>
      </c>
      <c r="M88" s="118">
        <f t="shared" si="13"/>
        <v>354.05971278041812</v>
      </c>
      <c r="N88" s="118">
        <f t="shared" si="13"/>
        <v>412.70541090487296</v>
      </c>
      <c r="O88" s="118"/>
      <c r="P88" s="118"/>
      <c r="Q88" s="118"/>
      <c r="R88" s="119"/>
      <c r="S88" s="155"/>
      <c r="T88" s="155"/>
      <c r="U88" s="155"/>
      <c r="V88" s="155"/>
      <c r="W88" s="155"/>
      <c r="X88" s="112"/>
      <c r="Y88" s="112"/>
      <c r="Z88" s="112"/>
      <c r="AA88" s="112"/>
      <c r="AC88" s="86"/>
      <c r="AD88" s="169"/>
      <c r="AE88" s="169"/>
      <c r="AF88" s="169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4"/>
      <c r="BB88" s="74"/>
      <c r="BC88" s="74"/>
      <c r="BD88" s="74"/>
      <c r="BE88" s="74"/>
      <c r="BF88" s="74"/>
      <c r="BG88" s="74"/>
      <c r="BH88" s="74"/>
      <c r="BI88" s="74"/>
      <c r="BJ88" s="74"/>
      <c r="BK88" s="74"/>
      <c r="BL88" s="74"/>
      <c r="BM88" s="74"/>
      <c r="BN88" s="74"/>
      <c r="BO88" s="74"/>
      <c r="BP88" s="74"/>
      <c r="BQ88" s="74"/>
      <c r="BR88" s="74"/>
      <c r="BS88" s="74"/>
      <c r="BT88" s="74"/>
      <c r="BU88" s="74"/>
      <c r="BV88" s="74"/>
      <c r="BW88" s="74"/>
    </row>
    <row r="89" spans="2:75" x14ac:dyDescent="0.25">
      <c r="B89" s="181"/>
      <c r="C89" s="72">
        <v>35</v>
      </c>
      <c r="D89" s="85" t="s">
        <v>331</v>
      </c>
      <c r="E89" s="73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110"/>
      <c r="S89" s="112"/>
      <c r="T89" s="112"/>
      <c r="U89" s="112"/>
      <c r="V89" s="112"/>
      <c r="W89" s="112"/>
      <c r="X89" s="112"/>
      <c r="Y89" s="112"/>
      <c r="Z89" s="112"/>
      <c r="AA89" s="112"/>
      <c r="AC89" s="86"/>
      <c r="AD89" s="169"/>
      <c r="AE89" s="169"/>
      <c r="AF89" s="169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W89" s="74"/>
      <c r="AX89" s="74"/>
      <c r="AY89" s="74"/>
      <c r="AZ89" s="74"/>
      <c r="BA89" s="74"/>
      <c r="BB89" s="74"/>
      <c r="BC89" s="74"/>
      <c r="BD89" s="74"/>
      <c r="BE89" s="74"/>
      <c r="BF89" s="74"/>
      <c r="BG89" s="74"/>
      <c r="BH89" s="74"/>
      <c r="BI89" s="74"/>
      <c r="BJ89" s="74"/>
      <c r="BK89" s="74"/>
      <c r="BL89" s="74"/>
      <c r="BM89" s="74"/>
      <c r="BN89" s="74"/>
      <c r="BO89" s="74"/>
      <c r="BP89" s="74"/>
      <c r="BQ89" s="74"/>
      <c r="BR89" s="74"/>
      <c r="BS89" s="74"/>
      <c r="BT89" s="74"/>
      <c r="BU89" s="74"/>
      <c r="BV89" s="74"/>
      <c r="BW89" s="74"/>
    </row>
    <row r="90" spans="2:75" x14ac:dyDescent="0.25">
      <c r="B90" s="181"/>
      <c r="C90" s="72"/>
      <c r="D90" s="73" t="s">
        <v>332</v>
      </c>
      <c r="E90" s="73"/>
      <c r="F90" s="86">
        <f>FAS!C37</f>
        <v>185.12531775756867</v>
      </c>
      <c r="G90" s="86">
        <f>FAS!D37</f>
        <v>185.12531775756867</v>
      </c>
      <c r="H90" s="86">
        <f>FAS!E37</f>
        <v>185.12531775756867</v>
      </c>
      <c r="I90" s="86">
        <f>FAS!F37</f>
        <v>185.12531775756867</v>
      </c>
      <c r="J90" s="86">
        <f>FAS!G37</f>
        <v>185.12531775756867</v>
      </c>
      <c r="K90" s="86">
        <f>FAS!H37</f>
        <v>185.12531775756867</v>
      </c>
      <c r="L90" s="86">
        <f>FAS!I37</f>
        <v>185.12531775756867</v>
      </c>
      <c r="M90" s="86">
        <f>FAS!J37</f>
        <v>185.12531775756867</v>
      </c>
      <c r="N90" s="86">
        <f>FAS!K37</f>
        <v>185.12531775756867</v>
      </c>
      <c r="O90" s="86"/>
      <c r="P90" s="86"/>
      <c r="Q90" s="86"/>
      <c r="R90" s="110"/>
      <c r="S90" s="204"/>
      <c r="T90" s="204"/>
      <c r="U90" s="204"/>
      <c r="V90" s="204"/>
      <c r="W90" s="204"/>
      <c r="X90" s="112"/>
      <c r="Y90" s="112"/>
      <c r="AA90" s="229"/>
      <c r="AC90" s="86"/>
      <c r="AD90" s="169"/>
      <c r="AE90" s="169"/>
      <c r="AF90" s="169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  <c r="AW90" s="74"/>
      <c r="AX90" s="74"/>
      <c r="AY90" s="74"/>
      <c r="AZ90" s="74"/>
      <c r="BA90" s="74"/>
      <c r="BB90" s="74"/>
      <c r="BC90" s="74"/>
      <c r="BD90" s="74"/>
      <c r="BE90" s="74"/>
      <c r="BF90" s="74"/>
      <c r="BG90" s="74"/>
      <c r="BH90" s="74"/>
      <c r="BI90" s="74"/>
      <c r="BJ90" s="74"/>
      <c r="BK90" s="74"/>
      <c r="BL90" s="74"/>
      <c r="BM90" s="74"/>
      <c r="BN90" s="74"/>
      <c r="BO90" s="74"/>
      <c r="BP90" s="74"/>
      <c r="BQ90" s="74"/>
      <c r="BR90" s="74"/>
      <c r="BS90" s="74"/>
      <c r="BT90" s="74"/>
      <c r="BU90" s="74"/>
      <c r="BV90" s="74"/>
      <c r="BW90" s="74"/>
    </row>
    <row r="91" spans="2:75" x14ac:dyDescent="0.25">
      <c r="B91" s="181"/>
      <c r="C91" s="72"/>
      <c r="D91" s="73" t="s">
        <v>214</v>
      </c>
      <c r="E91" s="73"/>
      <c r="F91" s="86">
        <f>+FAS!C39</f>
        <v>31.133717359977982</v>
      </c>
      <c r="G91" s="86">
        <f>+FAS!D39</f>
        <v>56.713117586648586</v>
      </c>
      <c r="H91" s="86">
        <f>+FAS!E39</f>
        <v>77.737681204727608</v>
      </c>
      <c r="I91" s="86">
        <f>+FAS!F39</f>
        <v>95.026063964667813</v>
      </c>
      <c r="J91" s="86">
        <f>+FAS!G39</f>
        <v>109.24894129509988</v>
      </c>
      <c r="K91" s="86">
        <f>+FAS!H39</f>
        <v>120.95586515414836</v>
      </c>
      <c r="L91" s="86">
        <f>+FAS!I39</f>
        <v>130.5972293338813</v>
      </c>
      <c r="M91" s="86">
        <f>+FAS!J39</f>
        <v>138.54223758549472</v>
      </c>
      <c r="N91" s="86">
        <f>+FAS!K39</f>
        <v>145.09360461713942</v>
      </c>
      <c r="O91" s="86"/>
      <c r="P91" s="86"/>
      <c r="Q91" s="86"/>
      <c r="R91" s="110"/>
      <c r="S91" s="204"/>
      <c r="T91" s="204"/>
      <c r="U91" s="204"/>
      <c r="V91" s="204"/>
      <c r="W91" s="204"/>
      <c r="X91" s="230"/>
      <c r="Y91" s="230"/>
      <c r="Z91" s="230"/>
      <c r="AA91" s="231"/>
      <c r="AC91" s="86"/>
      <c r="AD91" s="169"/>
      <c r="AE91" s="169"/>
      <c r="AF91" s="169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</row>
    <row r="92" spans="2:75" x14ac:dyDescent="0.25">
      <c r="B92" s="192"/>
      <c r="C92" s="114"/>
      <c r="D92" s="103" t="s">
        <v>333</v>
      </c>
      <c r="E92" s="103"/>
      <c r="F92" s="120">
        <f>F90-F91</f>
        <v>153.99160039759067</v>
      </c>
      <c r="G92" s="120">
        <f t="shared" ref="G92:N92" si="14">G90-G91</f>
        <v>128.41220017092007</v>
      </c>
      <c r="H92" s="120">
        <f t="shared" si="14"/>
        <v>107.38763655284106</v>
      </c>
      <c r="I92" s="120">
        <f t="shared" si="14"/>
        <v>90.099253792900853</v>
      </c>
      <c r="J92" s="120">
        <f t="shared" si="14"/>
        <v>75.876376462468784</v>
      </c>
      <c r="K92" s="120">
        <f t="shared" si="14"/>
        <v>64.169452603420311</v>
      </c>
      <c r="L92" s="120">
        <f t="shared" si="14"/>
        <v>54.528088423687365</v>
      </c>
      <c r="M92" s="120">
        <f t="shared" si="14"/>
        <v>46.583080172073949</v>
      </c>
      <c r="N92" s="120">
        <f t="shared" si="14"/>
        <v>40.031713140429247</v>
      </c>
      <c r="O92" s="120"/>
      <c r="P92" s="120"/>
      <c r="Q92" s="120"/>
      <c r="R92" s="121"/>
      <c r="S92" s="155"/>
      <c r="T92" s="155"/>
      <c r="U92" s="155"/>
      <c r="V92" s="155"/>
      <c r="W92" s="155"/>
      <c r="X92" s="232"/>
      <c r="Y92" s="112"/>
      <c r="Z92" s="112"/>
      <c r="AA92" s="229"/>
      <c r="AC92" s="86"/>
      <c r="AD92" s="169"/>
      <c r="AE92" s="169"/>
      <c r="AF92" s="169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  <c r="AW92" s="74"/>
      <c r="AX92" s="74"/>
      <c r="AY92" s="74"/>
      <c r="AZ92" s="74"/>
      <c r="BA92" s="74"/>
      <c r="BB92" s="74"/>
      <c r="BC92" s="74"/>
      <c r="BD92" s="74"/>
      <c r="BE92" s="74"/>
      <c r="BF92" s="74"/>
      <c r="BG92" s="74"/>
      <c r="BH92" s="74"/>
      <c r="BI92" s="74"/>
      <c r="BJ92" s="74"/>
      <c r="BK92" s="74"/>
      <c r="BL92" s="74"/>
      <c r="BM92" s="74"/>
      <c r="BN92" s="74"/>
      <c r="BO92" s="74"/>
      <c r="BP92" s="74"/>
      <c r="BQ92" s="74"/>
      <c r="BR92" s="74"/>
      <c r="BS92" s="74"/>
      <c r="BT92" s="74"/>
      <c r="BU92" s="74"/>
      <c r="BV92" s="74"/>
      <c r="BW92" s="74"/>
    </row>
    <row r="93" spans="2:75" x14ac:dyDescent="0.25">
      <c r="B93" s="181"/>
      <c r="C93" s="72"/>
      <c r="D93" s="85"/>
      <c r="E93" s="73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110"/>
      <c r="S93" s="112"/>
      <c r="T93" s="112"/>
      <c r="U93" s="112"/>
      <c r="V93" s="112"/>
      <c r="W93" s="112"/>
      <c r="X93" s="112"/>
      <c r="Y93" s="112"/>
      <c r="Z93" s="112"/>
      <c r="AA93" s="230"/>
      <c r="AC93" s="86"/>
      <c r="AD93" s="169"/>
      <c r="AE93" s="169"/>
      <c r="AF93" s="169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W93" s="74"/>
      <c r="AX93" s="74"/>
      <c r="AY93" s="74"/>
      <c r="AZ93" s="74"/>
      <c r="BA93" s="74"/>
      <c r="BB93" s="74"/>
      <c r="BC93" s="74"/>
      <c r="BD93" s="74"/>
      <c r="BE93" s="74"/>
      <c r="BF93" s="74"/>
      <c r="BG93" s="74"/>
      <c r="BH93" s="74"/>
      <c r="BI93" s="74"/>
      <c r="BJ93" s="74"/>
      <c r="BK93" s="74"/>
      <c r="BL93" s="74"/>
      <c r="BM93" s="74"/>
      <c r="BN93" s="74"/>
      <c r="BO93" s="74"/>
      <c r="BP93" s="74"/>
      <c r="BQ93" s="74"/>
      <c r="BR93" s="74"/>
      <c r="BS93" s="74"/>
      <c r="BT93" s="74"/>
      <c r="BU93" s="74"/>
      <c r="BV93" s="74"/>
      <c r="BW93" s="74"/>
    </row>
    <row r="94" spans="2:75" x14ac:dyDescent="0.25">
      <c r="B94" s="218"/>
      <c r="C94" s="124">
        <v>36</v>
      </c>
      <c r="D94" s="221" t="s">
        <v>334</v>
      </c>
      <c r="E94" s="233"/>
      <c r="F94" s="132">
        <v>0</v>
      </c>
      <c r="G94" s="132">
        <v>0</v>
      </c>
      <c r="H94" s="132">
        <v>0</v>
      </c>
      <c r="I94" s="132">
        <v>0</v>
      </c>
      <c r="J94" s="132">
        <v>0</v>
      </c>
      <c r="K94" s="132">
        <v>0</v>
      </c>
      <c r="L94" s="132">
        <v>0</v>
      </c>
      <c r="M94" s="132">
        <v>0</v>
      </c>
      <c r="N94" s="132">
        <v>0</v>
      </c>
      <c r="O94" s="118"/>
      <c r="P94" s="118"/>
      <c r="Q94" s="118"/>
      <c r="R94" s="119"/>
      <c r="S94" s="112"/>
      <c r="T94" s="112"/>
      <c r="U94" s="112"/>
      <c r="V94" s="112"/>
      <c r="W94" s="112"/>
      <c r="X94" s="112"/>
      <c r="Y94" s="112"/>
      <c r="Z94" s="112"/>
      <c r="AA94" s="112"/>
      <c r="AC94" s="86"/>
      <c r="AD94" s="169"/>
      <c r="AE94" s="169"/>
      <c r="AF94" s="169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W94" s="74"/>
      <c r="AX94" s="74"/>
      <c r="AY94" s="74"/>
      <c r="AZ94" s="74"/>
      <c r="BA94" s="74"/>
      <c r="BB94" s="74"/>
      <c r="BC94" s="74"/>
      <c r="BD94" s="74"/>
      <c r="BE94" s="74"/>
      <c r="BF94" s="74"/>
      <c r="BG94" s="74"/>
      <c r="BH94" s="74"/>
      <c r="BI94" s="74"/>
      <c r="BJ94" s="74"/>
      <c r="BK94" s="74"/>
      <c r="BL94" s="74"/>
      <c r="BM94" s="74"/>
      <c r="BN94" s="74"/>
      <c r="BO94" s="74"/>
      <c r="BP94" s="74"/>
      <c r="BQ94" s="74"/>
      <c r="BR94" s="74"/>
      <c r="BS94" s="74"/>
      <c r="BT94" s="74"/>
      <c r="BU94" s="74"/>
      <c r="BV94" s="74"/>
      <c r="BW94" s="74"/>
    </row>
    <row r="95" spans="2:75" x14ac:dyDescent="0.25">
      <c r="B95" s="192"/>
      <c r="C95" s="114"/>
      <c r="D95" s="226" t="s">
        <v>558</v>
      </c>
      <c r="E95" s="234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120"/>
      <c r="Q95" s="120"/>
      <c r="R95" s="121"/>
      <c r="S95" s="112"/>
      <c r="T95" s="112"/>
      <c r="U95" s="112"/>
      <c r="V95" s="112"/>
      <c r="W95" s="112"/>
      <c r="X95" s="112"/>
      <c r="Y95" s="112"/>
      <c r="Z95" s="112"/>
      <c r="AA95" s="112"/>
      <c r="AC95" s="86"/>
      <c r="AD95" s="169"/>
      <c r="AE95" s="169"/>
      <c r="AF95" s="169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W95" s="74"/>
      <c r="AX95" s="74"/>
      <c r="AY95" s="74"/>
      <c r="AZ95" s="74"/>
      <c r="BA95" s="74"/>
      <c r="BB95" s="74"/>
      <c r="BC95" s="74"/>
      <c r="BD95" s="74"/>
      <c r="BE95" s="74"/>
      <c r="BF95" s="74"/>
      <c r="BG95" s="74"/>
      <c r="BH95" s="74"/>
      <c r="BI95" s="74"/>
      <c r="BJ95" s="74"/>
      <c r="BK95" s="74"/>
      <c r="BL95" s="74"/>
      <c r="BM95" s="74"/>
      <c r="BN95" s="74"/>
      <c r="BO95" s="74"/>
      <c r="BP95" s="74"/>
      <c r="BQ95" s="74"/>
      <c r="BR95" s="74"/>
      <c r="BS95" s="74"/>
      <c r="BT95" s="74"/>
      <c r="BU95" s="74"/>
      <c r="BV95" s="74"/>
      <c r="BW95" s="74"/>
    </row>
    <row r="96" spans="2:75" x14ac:dyDescent="0.25">
      <c r="B96" s="191"/>
      <c r="C96" s="143">
        <v>37</v>
      </c>
      <c r="D96" s="145" t="s">
        <v>335</v>
      </c>
      <c r="E96" s="145"/>
      <c r="F96" s="146">
        <v>1</v>
      </c>
      <c r="G96" s="146">
        <v>1</v>
      </c>
      <c r="H96" s="146">
        <v>1</v>
      </c>
      <c r="I96" s="146">
        <v>1</v>
      </c>
      <c r="J96" s="146">
        <v>1</v>
      </c>
      <c r="K96" s="146">
        <v>1</v>
      </c>
      <c r="L96" s="146">
        <v>1</v>
      </c>
      <c r="M96" s="146">
        <v>1</v>
      </c>
      <c r="N96" s="146">
        <v>1</v>
      </c>
      <c r="O96" s="146"/>
      <c r="P96" s="146"/>
      <c r="Q96" s="146"/>
      <c r="R96" s="147"/>
      <c r="S96" s="112"/>
      <c r="T96" s="112"/>
      <c r="U96" s="112"/>
      <c r="V96" s="112"/>
      <c r="W96" s="112"/>
      <c r="X96" s="112"/>
      <c r="Y96" s="112"/>
      <c r="Z96" s="112"/>
      <c r="AA96" s="112"/>
      <c r="AC96" s="86"/>
      <c r="AD96" s="169"/>
      <c r="AE96" s="169"/>
      <c r="AF96" s="169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W96" s="74"/>
      <c r="AX96" s="74"/>
      <c r="AY96" s="74"/>
      <c r="AZ96" s="74"/>
      <c r="BA96" s="74"/>
      <c r="BB96" s="74"/>
      <c r="BC96" s="74"/>
      <c r="BD96" s="74"/>
      <c r="BE96" s="74"/>
      <c r="BF96" s="74"/>
      <c r="BG96" s="74"/>
      <c r="BH96" s="74"/>
      <c r="BI96" s="74"/>
      <c r="BJ96" s="74"/>
      <c r="BK96" s="74"/>
      <c r="BL96" s="74"/>
      <c r="BM96" s="74"/>
      <c r="BN96" s="74"/>
      <c r="BO96" s="74"/>
      <c r="BP96" s="74"/>
      <c r="BQ96" s="74"/>
      <c r="BR96" s="74"/>
      <c r="BS96" s="74"/>
      <c r="BT96" s="74"/>
      <c r="BU96" s="74"/>
      <c r="BV96" s="74"/>
      <c r="BW96" s="74"/>
    </row>
    <row r="97" spans="2:75" x14ac:dyDescent="0.25">
      <c r="B97" s="218"/>
      <c r="C97" s="124">
        <v>38</v>
      </c>
      <c r="D97" s="221" t="s">
        <v>336</v>
      </c>
      <c r="E97" s="221"/>
      <c r="F97" s="132"/>
      <c r="G97" s="132"/>
      <c r="H97" s="132"/>
      <c r="I97" s="132"/>
      <c r="J97" s="132"/>
      <c r="K97" s="132"/>
      <c r="L97" s="132"/>
      <c r="M97" s="132"/>
      <c r="N97" s="132"/>
      <c r="O97" s="132"/>
      <c r="P97" s="132"/>
      <c r="Q97" s="132"/>
      <c r="R97" s="133"/>
      <c r="S97" s="112"/>
      <c r="T97" s="112"/>
      <c r="U97" s="112"/>
      <c r="V97" s="112"/>
      <c r="W97" s="112"/>
      <c r="X97" s="112"/>
      <c r="Y97" s="112"/>
      <c r="Z97" s="112"/>
      <c r="AA97" s="112"/>
      <c r="AC97" s="86"/>
      <c r="AD97" s="169"/>
      <c r="AE97" s="169"/>
      <c r="AF97" s="169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W97" s="74"/>
      <c r="AX97" s="74"/>
      <c r="AY97" s="74"/>
      <c r="AZ97" s="74"/>
      <c r="BA97" s="74"/>
      <c r="BB97" s="74"/>
      <c r="BC97" s="74"/>
      <c r="BD97" s="74"/>
      <c r="BE97" s="74"/>
      <c r="BF97" s="74"/>
      <c r="BG97" s="74"/>
      <c r="BH97" s="74"/>
      <c r="BI97" s="74"/>
      <c r="BJ97" s="74"/>
      <c r="BK97" s="74"/>
      <c r="BL97" s="74"/>
      <c r="BM97" s="74"/>
      <c r="BN97" s="74"/>
      <c r="BO97" s="74"/>
      <c r="BP97" s="74"/>
      <c r="BQ97" s="74"/>
      <c r="BR97" s="74"/>
      <c r="BS97" s="74"/>
      <c r="BT97" s="74"/>
      <c r="BU97" s="74"/>
      <c r="BV97" s="74"/>
      <c r="BW97" s="74"/>
    </row>
    <row r="98" spans="2:75" x14ac:dyDescent="0.25">
      <c r="B98" s="192"/>
      <c r="C98" s="114"/>
      <c r="D98" s="226" t="s">
        <v>337</v>
      </c>
      <c r="E98" s="22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7"/>
      <c r="S98" s="112"/>
      <c r="T98" s="112"/>
      <c r="U98" s="112"/>
      <c r="V98" s="112"/>
      <c r="W98" s="112"/>
      <c r="X98" s="112"/>
      <c r="Y98" s="112"/>
      <c r="Z98" s="112"/>
      <c r="AA98" s="112"/>
      <c r="AC98" s="86"/>
      <c r="AD98" s="169"/>
      <c r="AE98" s="169"/>
      <c r="AF98" s="169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C98" s="74"/>
      <c r="BD98" s="74"/>
      <c r="BE98" s="74"/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W98" s="74"/>
    </row>
    <row r="99" spans="2:75" x14ac:dyDescent="0.25">
      <c r="B99" s="181"/>
      <c r="C99" s="72">
        <v>39</v>
      </c>
      <c r="D99" s="205" t="s">
        <v>338</v>
      </c>
      <c r="E99" s="85"/>
      <c r="F99" s="99">
        <f>F94+F96+F97</f>
        <v>1</v>
      </c>
      <c r="G99" s="99">
        <f t="shared" ref="G99:N99" si="15">G94+G96+G97</f>
        <v>1</v>
      </c>
      <c r="H99" s="99">
        <f t="shared" si="15"/>
        <v>1</v>
      </c>
      <c r="I99" s="99">
        <f t="shared" si="15"/>
        <v>1</v>
      </c>
      <c r="J99" s="99">
        <f t="shared" si="15"/>
        <v>1</v>
      </c>
      <c r="K99" s="99">
        <f t="shared" si="15"/>
        <v>1</v>
      </c>
      <c r="L99" s="99">
        <f t="shared" si="15"/>
        <v>1</v>
      </c>
      <c r="M99" s="99">
        <f t="shared" si="15"/>
        <v>1</v>
      </c>
      <c r="N99" s="99">
        <f t="shared" si="15"/>
        <v>1</v>
      </c>
      <c r="O99" s="99"/>
      <c r="P99" s="99"/>
      <c r="Q99" s="99"/>
      <c r="R99" s="111"/>
      <c r="S99" s="155"/>
      <c r="T99" s="155"/>
      <c r="U99" s="155"/>
      <c r="V99" s="155"/>
      <c r="W99" s="155"/>
      <c r="X99" s="112"/>
      <c r="Y99" s="112"/>
      <c r="Z99" s="112"/>
      <c r="AA99" s="112"/>
      <c r="AC99" s="86"/>
      <c r="AD99" s="169"/>
      <c r="AE99" s="169"/>
      <c r="AF99" s="169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4"/>
      <c r="BJ99" s="74"/>
      <c r="BK99" s="74"/>
      <c r="BL99" s="74"/>
      <c r="BM99" s="74"/>
      <c r="BN99" s="74"/>
      <c r="BO99" s="74"/>
      <c r="BP99" s="74"/>
      <c r="BQ99" s="74"/>
      <c r="BR99" s="74"/>
      <c r="BS99" s="74"/>
      <c r="BT99" s="74"/>
      <c r="BU99" s="74"/>
      <c r="BV99" s="74"/>
      <c r="BW99" s="74"/>
    </row>
    <row r="100" spans="2:75" x14ac:dyDescent="0.25">
      <c r="B100" s="192"/>
      <c r="C100" s="114"/>
      <c r="D100" s="226" t="s">
        <v>339</v>
      </c>
      <c r="E100" s="115"/>
      <c r="F100" s="116"/>
      <c r="G100" s="116"/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7"/>
      <c r="S100" s="112"/>
      <c r="T100" s="112"/>
      <c r="U100" s="112"/>
      <c r="V100" s="112"/>
      <c r="W100" s="112"/>
      <c r="X100" s="112"/>
      <c r="Y100" s="112"/>
      <c r="Z100" s="112"/>
      <c r="AA100" s="112"/>
      <c r="AC100" s="86"/>
      <c r="AD100" s="169"/>
      <c r="AE100" s="169"/>
      <c r="AF100" s="169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W100" s="74"/>
      <c r="AX100" s="74"/>
      <c r="AY100" s="74"/>
      <c r="AZ100" s="74"/>
      <c r="BA100" s="74"/>
      <c r="BB100" s="74"/>
      <c r="BC100" s="74"/>
      <c r="BD100" s="74"/>
      <c r="BE100" s="74"/>
      <c r="BF100" s="74"/>
      <c r="BG100" s="74"/>
      <c r="BH100" s="74"/>
      <c r="BI100" s="74"/>
      <c r="BJ100" s="74"/>
      <c r="BK100" s="74"/>
      <c r="BL100" s="74"/>
      <c r="BM100" s="74"/>
      <c r="BN100" s="74"/>
      <c r="BO100" s="74"/>
      <c r="BP100" s="74"/>
      <c r="BQ100" s="74"/>
      <c r="BR100" s="74"/>
      <c r="BS100" s="74"/>
      <c r="BT100" s="74"/>
      <c r="BU100" s="74"/>
      <c r="BV100" s="74"/>
      <c r="BW100" s="74"/>
    </row>
    <row r="101" spans="2:75" x14ac:dyDescent="0.25">
      <c r="B101" s="181"/>
      <c r="C101" s="72">
        <v>40</v>
      </c>
      <c r="D101" s="205" t="s">
        <v>340</v>
      </c>
      <c r="E101" s="73"/>
      <c r="F101" s="86">
        <v>0</v>
      </c>
      <c r="G101" s="86">
        <v>0</v>
      </c>
      <c r="H101" s="86">
        <v>0</v>
      </c>
      <c r="I101" s="86">
        <v>0</v>
      </c>
      <c r="J101" s="86">
        <v>0</v>
      </c>
      <c r="K101" s="86">
        <v>0</v>
      </c>
      <c r="L101" s="86">
        <v>0</v>
      </c>
      <c r="M101" s="86">
        <v>0</v>
      </c>
      <c r="N101" s="86">
        <v>0</v>
      </c>
      <c r="O101" s="86"/>
      <c r="P101" s="86"/>
      <c r="Q101" s="86"/>
      <c r="R101" s="110"/>
      <c r="S101" s="112"/>
      <c r="T101" s="112"/>
      <c r="U101" s="112"/>
      <c r="V101" s="112"/>
      <c r="W101" s="112"/>
      <c r="X101" s="112"/>
      <c r="Y101" s="112"/>
      <c r="Z101" s="112"/>
      <c r="AA101" s="112"/>
      <c r="AC101" s="86"/>
      <c r="AD101" s="169"/>
      <c r="AE101" s="169"/>
      <c r="AF101" s="169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W101" s="74"/>
      <c r="AX101" s="74"/>
      <c r="AY101" s="74"/>
      <c r="AZ101" s="74"/>
      <c r="BA101" s="74"/>
      <c r="BB101" s="74"/>
      <c r="BC101" s="74"/>
      <c r="BD101" s="74"/>
      <c r="BE101" s="74"/>
      <c r="BF101" s="74"/>
      <c r="BG101" s="74"/>
      <c r="BH101" s="74"/>
      <c r="BI101" s="74"/>
      <c r="BJ101" s="74"/>
      <c r="BK101" s="74"/>
      <c r="BL101" s="74"/>
      <c r="BM101" s="74"/>
      <c r="BN101" s="74"/>
      <c r="BO101" s="74"/>
      <c r="BP101" s="74"/>
      <c r="BQ101" s="74"/>
      <c r="BR101" s="74"/>
      <c r="BS101" s="74"/>
      <c r="BT101" s="74"/>
      <c r="BU101" s="74"/>
      <c r="BV101" s="74"/>
      <c r="BW101" s="74"/>
    </row>
    <row r="102" spans="2:75" ht="15.75" thickBot="1" x14ac:dyDescent="0.3">
      <c r="B102" s="181"/>
      <c r="C102" s="72"/>
      <c r="D102" s="201" t="s">
        <v>341</v>
      </c>
      <c r="E102" s="73"/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110"/>
      <c r="S102" s="112"/>
      <c r="T102" s="112"/>
      <c r="U102" s="112"/>
      <c r="V102" s="112"/>
      <c r="W102" s="112"/>
      <c r="X102" s="112"/>
      <c r="Y102" s="112"/>
      <c r="Z102" s="112"/>
      <c r="AA102" s="112"/>
      <c r="AC102" s="86"/>
      <c r="AD102" s="169"/>
      <c r="AE102" s="169"/>
      <c r="AF102" s="169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W102" s="74"/>
      <c r="AX102" s="74"/>
      <c r="AY102" s="74"/>
      <c r="AZ102" s="74"/>
      <c r="BA102" s="74"/>
      <c r="BB102" s="74"/>
      <c r="BC102" s="74"/>
      <c r="BD102" s="74"/>
      <c r="BE102" s="74"/>
      <c r="BF102" s="74"/>
      <c r="BG102" s="74"/>
      <c r="BH102" s="74"/>
      <c r="BI102" s="74"/>
      <c r="BJ102" s="74"/>
      <c r="BK102" s="74"/>
      <c r="BL102" s="74"/>
      <c r="BM102" s="74"/>
      <c r="BN102" s="74"/>
      <c r="BO102" s="74"/>
      <c r="BP102" s="74"/>
      <c r="BQ102" s="74"/>
      <c r="BR102" s="74"/>
      <c r="BS102" s="74"/>
      <c r="BT102" s="74"/>
      <c r="BU102" s="74"/>
      <c r="BV102" s="74"/>
      <c r="BW102" s="74"/>
    </row>
    <row r="103" spans="2:75" ht="15.75" thickBot="1" x14ac:dyDescent="0.3">
      <c r="B103" s="235"/>
      <c r="C103" s="236">
        <v>41</v>
      </c>
      <c r="D103" s="237" t="s">
        <v>342</v>
      </c>
      <c r="E103" s="237"/>
      <c r="F103" s="238">
        <f>+F88+F92+F99+F101</f>
        <v>253.52704293981327</v>
      </c>
      <c r="G103" s="238">
        <f t="shared" ref="G103:N103" si="16">+G88+G92+G99+G101</f>
        <v>245.84866969756288</v>
      </c>
      <c r="H103" s="238">
        <f t="shared" si="16"/>
        <v>252.61749824726962</v>
      </c>
      <c r="I103" s="238">
        <f t="shared" si="16"/>
        <v>261.53137279691134</v>
      </c>
      <c r="J103" s="238">
        <f t="shared" si="16"/>
        <v>281.00347009732286</v>
      </c>
      <c r="K103" s="238">
        <f t="shared" si="16"/>
        <v>310.87638849005515</v>
      </c>
      <c r="L103" s="238">
        <f t="shared" si="16"/>
        <v>351.08407555478436</v>
      </c>
      <c r="M103" s="238">
        <f t="shared" si="16"/>
        <v>401.64279295249207</v>
      </c>
      <c r="N103" s="238">
        <f t="shared" si="16"/>
        <v>453.73712404530221</v>
      </c>
      <c r="O103" s="238"/>
      <c r="P103" s="238"/>
      <c r="Q103" s="238"/>
      <c r="R103" s="239"/>
      <c r="S103" s="155"/>
      <c r="T103" s="155"/>
      <c r="U103" s="155"/>
      <c r="V103" s="155"/>
      <c r="W103" s="155"/>
      <c r="X103" s="112"/>
      <c r="Y103" s="112"/>
      <c r="Z103" s="112"/>
      <c r="AA103" s="112"/>
      <c r="AC103" s="86"/>
      <c r="AD103" s="169"/>
      <c r="AE103" s="169"/>
      <c r="AF103" s="169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W103" s="74"/>
      <c r="AX103" s="74"/>
      <c r="AY103" s="74"/>
      <c r="AZ103" s="74"/>
      <c r="BA103" s="74"/>
      <c r="BB103" s="74"/>
      <c r="BC103" s="74"/>
      <c r="BD103" s="74"/>
      <c r="BE103" s="74"/>
      <c r="BF103" s="74"/>
      <c r="BG103" s="74"/>
      <c r="BH103" s="74"/>
      <c r="BI103" s="74"/>
      <c r="BJ103" s="74"/>
      <c r="BK103" s="74"/>
      <c r="BL103" s="74"/>
      <c r="BM103" s="74"/>
      <c r="BN103" s="74"/>
      <c r="BO103" s="74"/>
      <c r="BP103" s="74"/>
      <c r="BQ103" s="74"/>
      <c r="BR103" s="74"/>
      <c r="BS103" s="74"/>
      <c r="BT103" s="74"/>
      <c r="BU103" s="74"/>
      <c r="BV103" s="74"/>
      <c r="BW103" s="74"/>
    </row>
    <row r="104" spans="2:75" x14ac:dyDescent="0.25">
      <c r="B104" s="176"/>
      <c r="C104" s="76"/>
      <c r="D104" s="96"/>
      <c r="E104" s="96"/>
      <c r="F104" s="240"/>
      <c r="G104" s="240"/>
      <c r="H104" s="240"/>
      <c r="I104" s="240"/>
      <c r="J104" s="240"/>
      <c r="K104" s="240"/>
      <c r="L104" s="240"/>
      <c r="M104" s="240"/>
      <c r="N104" s="240"/>
      <c r="O104" s="240"/>
      <c r="P104" s="240"/>
      <c r="Q104" s="240"/>
      <c r="R104" s="241"/>
      <c r="S104" s="155"/>
      <c r="T104" s="155"/>
      <c r="U104" s="155"/>
      <c r="V104" s="155"/>
      <c r="W104" s="155"/>
      <c r="X104" s="112"/>
      <c r="Y104" s="112"/>
      <c r="Z104" s="112"/>
      <c r="AA104" s="112"/>
      <c r="AC104" s="86"/>
      <c r="AD104" s="169"/>
      <c r="AE104" s="169"/>
      <c r="AF104" s="169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W104" s="74"/>
      <c r="AX104" s="74"/>
      <c r="AY104" s="74"/>
      <c r="AZ104" s="74"/>
      <c r="BA104" s="74"/>
      <c r="BB104" s="74"/>
      <c r="BC104" s="74"/>
      <c r="BD104" s="74"/>
      <c r="BE104" s="74"/>
      <c r="BF104" s="74"/>
      <c r="BG104" s="74"/>
      <c r="BH104" s="74"/>
      <c r="BI104" s="74"/>
      <c r="BJ104" s="74"/>
      <c r="BK104" s="74"/>
      <c r="BL104" s="74"/>
      <c r="BM104" s="74"/>
      <c r="BN104" s="74"/>
      <c r="BO104" s="74"/>
      <c r="BP104" s="74"/>
      <c r="BQ104" s="74"/>
      <c r="BR104" s="74"/>
      <c r="BS104" s="74"/>
      <c r="BT104" s="74"/>
      <c r="BU104" s="74"/>
      <c r="BV104" s="74"/>
      <c r="BW104" s="74"/>
    </row>
    <row r="105" spans="2:75" x14ac:dyDescent="0.25">
      <c r="B105" s="181"/>
      <c r="C105" s="72">
        <v>42</v>
      </c>
      <c r="D105" s="85" t="s">
        <v>343</v>
      </c>
      <c r="E105" s="73"/>
      <c r="F105" s="86">
        <f>F56-F101</f>
        <v>54.847028140447499</v>
      </c>
      <c r="G105" s="86">
        <f t="shared" ref="G105:N105" si="17">G56-G101</f>
        <v>51.120396553479281</v>
      </c>
      <c r="H105" s="86">
        <f t="shared" si="17"/>
        <v>62.531075030177135</v>
      </c>
      <c r="I105" s="86">
        <f t="shared" si="17"/>
        <v>84.587004015497683</v>
      </c>
      <c r="J105" s="86">
        <f t="shared" si="17"/>
        <v>117.08024452106415</v>
      </c>
      <c r="K105" s="86">
        <f t="shared" si="17"/>
        <v>159.87026163981301</v>
      </c>
      <c r="L105" s="86">
        <f t="shared" si="17"/>
        <v>212.89189167087434</v>
      </c>
      <c r="M105" s="86">
        <f t="shared" si="17"/>
        <v>276.16204762529458</v>
      </c>
      <c r="N105" s="86">
        <f t="shared" si="17"/>
        <v>344.73940047620044</v>
      </c>
      <c r="O105" s="86"/>
      <c r="P105" s="86"/>
      <c r="Q105" s="86"/>
      <c r="R105" s="110"/>
      <c r="S105" s="112"/>
      <c r="T105" s="112"/>
      <c r="U105" s="112"/>
      <c r="V105" s="112"/>
      <c r="W105" s="112"/>
      <c r="X105" s="112"/>
      <c r="Y105" s="112"/>
      <c r="Z105" s="112"/>
      <c r="AA105" s="112"/>
      <c r="AC105" s="86"/>
      <c r="AD105" s="169"/>
      <c r="AE105" s="169"/>
      <c r="AF105" s="169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  <c r="BD105" s="74"/>
      <c r="BE105" s="74"/>
      <c r="BF105" s="74"/>
      <c r="BG105" s="74"/>
      <c r="BH105" s="74"/>
      <c r="BI105" s="74"/>
      <c r="BJ105" s="74"/>
      <c r="BK105" s="74"/>
      <c r="BL105" s="74"/>
      <c r="BM105" s="74"/>
      <c r="BN105" s="74"/>
      <c r="BO105" s="74"/>
      <c r="BP105" s="74"/>
      <c r="BQ105" s="74"/>
      <c r="BR105" s="74"/>
      <c r="BS105" s="74"/>
      <c r="BT105" s="74"/>
      <c r="BU105" s="74"/>
      <c r="BV105" s="74"/>
      <c r="BW105" s="74"/>
    </row>
    <row r="106" spans="2:75" x14ac:dyDescent="0.25">
      <c r="B106" s="181"/>
      <c r="C106" s="72">
        <v>43</v>
      </c>
      <c r="D106" s="85" t="s">
        <v>344</v>
      </c>
      <c r="E106" s="85"/>
      <c r="F106" s="86">
        <f>F88-F34</f>
        <v>19.369482782896839</v>
      </c>
      <c r="G106" s="86">
        <f t="shared" ref="G106:N106" si="18">G88-G34</f>
        <v>24.148814988307763</v>
      </c>
      <c r="H106" s="86">
        <f t="shared" si="18"/>
        <v>39.510620648793221</v>
      </c>
      <c r="I106" s="86">
        <f t="shared" si="18"/>
        <v>61.781495959762537</v>
      </c>
      <c r="J106" s="86">
        <f t="shared" si="18"/>
        <v>91.42417736146966</v>
      </c>
      <c r="K106" s="86">
        <f t="shared" si="18"/>
        <v>128.84768190497559</v>
      </c>
      <c r="L106" s="86">
        <f t="shared" si="18"/>
        <v>174.43723968147845</v>
      </c>
      <c r="M106" s="86">
        <f t="shared" si="18"/>
        <v>228.57896745322063</v>
      </c>
      <c r="N106" s="86">
        <f t="shared" si="18"/>
        <v>303.7076873357712</v>
      </c>
      <c r="O106" s="86"/>
      <c r="P106" s="86"/>
      <c r="Q106" s="86"/>
      <c r="R106" s="110"/>
      <c r="S106" s="112"/>
      <c r="T106" s="112"/>
      <c r="U106" s="112"/>
      <c r="V106" s="112"/>
      <c r="W106" s="112"/>
      <c r="X106" s="112"/>
      <c r="Y106" s="112"/>
      <c r="Z106" s="112"/>
      <c r="AA106" s="112"/>
      <c r="AC106" s="86"/>
      <c r="AD106" s="169"/>
      <c r="AE106" s="169"/>
      <c r="AF106" s="169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W106" s="74"/>
      <c r="AX106" s="74"/>
      <c r="AY106" s="74"/>
      <c r="AZ106" s="74"/>
      <c r="BA106" s="74"/>
      <c r="BB106" s="74"/>
      <c r="BC106" s="74"/>
      <c r="BD106" s="74"/>
      <c r="BE106" s="74"/>
      <c r="BF106" s="74"/>
      <c r="BG106" s="74"/>
      <c r="BH106" s="74"/>
      <c r="BI106" s="74"/>
      <c r="BJ106" s="74"/>
      <c r="BK106" s="74"/>
      <c r="BL106" s="74"/>
      <c r="BM106" s="74"/>
      <c r="BN106" s="74"/>
      <c r="BO106" s="74"/>
      <c r="BP106" s="74"/>
      <c r="BQ106" s="74"/>
      <c r="BR106" s="74"/>
      <c r="BS106" s="74"/>
      <c r="BT106" s="74"/>
      <c r="BU106" s="74"/>
      <c r="BV106" s="74"/>
      <c r="BW106" s="74"/>
    </row>
    <row r="107" spans="2:75" x14ac:dyDescent="0.25">
      <c r="B107" s="181"/>
      <c r="C107" s="72">
        <v>44</v>
      </c>
      <c r="D107" s="85" t="s">
        <v>345</v>
      </c>
      <c r="E107" s="85"/>
      <c r="F107" s="86">
        <f>F88/F34</f>
        <v>1.2446693356814273</v>
      </c>
      <c r="G107" s="86">
        <f t="shared" ref="G107:N107" si="19">G88/G34</f>
        <v>1.2616689643821934</v>
      </c>
      <c r="H107" s="86">
        <f t="shared" si="19"/>
        <v>1.3773004870382415</v>
      </c>
      <c r="I107" s="86">
        <f t="shared" si="19"/>
        <v>1.5686253261023826</v>
      </c>
      <c r="J107" s="86">
        <f t="shared" si="19"/>
        <v>1.8111961995703931</v>
      </c>
      <c r="K107" s="86">
        <f t="shared" si="19"/>
        <v>2.1025886056503311</v>
      </c>
      <c r="L107" s="86">
        <f t="shared" si="19"/>
        <v>2.4402166745824267</v>
      </c>
      <c r="M107" s="86">
        <f t="shared" si="19"/>
        <v>2.8216258347620524</v>
      </c>
      <c r="N107" s="86">
        <f t="shared" si="19"/>
        <v>3.7863672505346258</v>
      </c>
      <c r="O107" s="86"/>
      <c r="P107" s="86"/>
      <c r="Q107" s="86"/>
      <c r="R107" s="110"/>
      <c r="S107" s="112"/>
      <c r="T107" s="112"/>
      <c r="U107" s="112"/>
      <c r="V107" s="112"/>
      <c r="W107" s="112"/>
      <c r="X107" s="112"/>
      <c r="Y107" s="112"/>
      <c r="Z107" s="112"/>
      <c r="AA107" s="112"/>
      <c r="AC107" s="86"/>
      <c r="AD107" s="169"/>
      <c r="AE107" s="169"/>
      <c r="AF107" s="169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W107" s="74"/>
      <c r="AX107" s="74"/>
      <c r="AY107" s="74"/>
      <c r="AZ107" s="74"/>
      <c r="BA107" s="74"/>
      <c r="BB107" s="74"/>
      <c r="BC107" s="74"/>
      <c r="BD107" s="74"/>
      <c r="BE107" s="74"/>
      <c r="BF107" s="74"/>
      <c r="BG107" s="74"/>
      <c r="BH107" s="74"/>
      <c r="BI107" s="74"/>
      <c r="BJ107" s="74"/>
      <c r="BK107" s="74"/>
      <c r="BL107" s="74"/>
      <c r="BM107" s="74"/>
      <c r="BN107" s="74"/>
      <c r="BO107" s="74"/>
      <c r="BP107" s="74"/>
      <c r="BQ107" s="74"/>
      <c r="BR107" s="74"/>
      <c r="BS107" s="74"/>
      <c r="BT107" s="74"/>
      <c r="BU107" s="74"/>
      <c r="BV107" s="74"/>
      <c r="BW107" s="74"/>
    </row>
    <row r="108" spans="2:75" x14ac:dyDescent="0.25">
      <c r="B108" s="181"/>
      <c r="C108" s="72"/>
      <c r="D108" s="85" t="s">
        <v>346</v>
      </c>
      <c r="E108" s="85"/>
      <c r="F108" s="86">
        <f>F88/(F34-F28)</f>
        <v>1.5869131622566106</v>
      </c>
      <c r="G108" s="86">
        <f t="shared" ref="G108:N108" si="20">G88/(G34-G28)</f>
        <v>1.5480646141342127</v>
      </c>
      <c r="H108" s="86">
        <f t="shared" si="20"/>
        <v>1.6455991514254524</v>
      </c>
      <c r="I108" s="86">
        <f t="shared" si="20"/>
        <v>1.8610761622314418</v>
      </c>
      <c r="J108" s="86">
        <f t="shared" si="20"/>
        <v>2.1345624171366415</v>
      </c>
      <c r="K108" s="86">
        <f t="shared" si="20"/>
        <v>2.4623432660658313</v>
      </c>
      <c r="L108" s="86">
        <f t="shared" si="20"/>
        <v>2.8406468705500627</v>
      </c>
      <c r="M108" s="86">
        <f t="shared" si="20"/>
        <v>3.2660133010975145</v>
      </c>
      <c r="N108" s="86">
        <f t="shared" si="20"/>
        <v>3.7863672505346258</v>
      </c>
      <c r="O108" s="86"/>
      <c r="P108" s="86"/>
      <c r="Q108" s="86"/>
      <c r="R108" s="110"/>
      <c r="S108" s="112"/>
      <c r="T108" s="112"/>
      <c r="U108" s="112"/>
      <c r="V108" s="112"/>
      <c r="W108" s="112"/>
      <c r="X108" s="112"/>
      <c r="Y108" s="112"/>
      <c r="Z108" s="112"/>
      <c r="AA108" s="112"/>
      <c r="AC108" s="86"/>
      <c r="AD108" s="169"/>
      <c r="AE108" s="169"/>
      <c r="AF108" s="169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W108" s="74"/>
      <c r="AX108" s="74"/>
      <c r="AY108" s="74"/>
      <c r="AZ108" s="74"/>
      <c r="BA108" s="74"/>
      <c r="BB108" s="74"/>
      <c r="BC108" s="74"/>
      <c r="BD108" s="74"/>
      <c r="BE108" s="74"/>
      <c r="BF108" s="74"/>
      <c r="BG108" s="74"/>
      <c r="BH108" s="74"/>
      <c r="BI108" s="74"/>
      <c r="BJ108" s="74"/>
      <c r="BK108" s="74"/>
      <c r="BL108" s="74"/>
      <c r="BM108" s="74"/>
      <c r="BN108" s="74"/>
      <c r="BO108" s="74"/>
      <c r="BP108" s="74"/>
      <c r="BQ108" s="74"/>
      <c r="BR108" s="74"/>
      <c r="BS108" s="74"/>
      <c r="BT108" s="74"/>
      <c r="BU108" s="74"/>
      <c r="BV108" s="74"/>
      <c r="BW108" s="74"/>
    </row>
    <row r="109" spans="2:75" ht="15.75" thickBot="1" x14ac:dyDescent="0.3">
      <c r="B109" s="208"/>
      <c r="C109" s="90">
        <v>45</v>
      </c>
      <c r="D109" s="209" t="s">
        <v>347</v>
      </c>
      <c r="E109" s="209"/>
      <c r="F109" s="242">
        <f>F47/F105</f>
        <v>3.6224390187669466</v>
      </c>
      <c r="G109" s="242">
        <f t="shared" ref="G109:N109" si="21">G47/G105</f>
        <v>3.8092089708335859</v>
      </c>
      <c r="H109" s="242">
        <f t="shared" si="21"/>
        <v>3.0398713459725086</v>
      </c>
      <c r="I109" s="242">
        <f t="shared" si="21"/>
        <v>2.091862347423898</v>
      </c>
      <c r="J109" s="242">
        <f t="shared" si="21"/>
        <v>1.4000929554496018</v>
      </c>
      <c r="K109" s="242">
        <f t="shared" si="21"/>
        <v>0.944554198519161</v>
      </c>
      <c r="L109" s="242">
        <f t="shared" si="21"/>
        <v>0.64911905662218339</v>
      </c>
      <c r="M109" s="242">
        <f t="shared" si="21"/>
        <v>0.45437360566450385</v>
      </c>
      <c r="N109" s="242">
        <f t="shared" si="21"/>
        <v>0.31617425631807522</v>
      </c>
      <c r="O109" s="242"/>
      <c r="P109" s="242"/>
      <c r="Q109" s="242"/>
      <c r="R109" s="243"/>
      <c r="S109" s="112"/>
      <c r="T109" s="112"/>
      <c r="U109" s="112"/>
      <c r="V109" s="112"/>
      <c r="W109" s="112"/>
      <c r="X109" s="112"/>
      <c r="Y109" s="216"/>
      <c r="Z109" s="112"/>
      <c r="AA109" s="112"/>
      <c r="AC109" s="86"/>
      <c r="AD109" s="169"/>
      <c r="AE109" s="169"/>
      <c r="AF109" s="169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W109" s="74"/>
      <c r="AX109" s="74"/>
      <c r="AY109" s="74"/>
      <c r="AZ109" s="74"/>
      <c r="BA109" s="74"/>
      <c r="BB109" s="74"/>
      <c r="BC109" s="74"/>
      <c r="BD109" s="74"/>
      <c r="BE109" s="74"/>
      <c r="BF109" s="74"/>
      <c r="BG109" s="74"/>
      <c r="BH109" s="74"/>
      <c r="BI109" s="74"/>
      <c r="BJ109" s="74"/>
      <c r="BK109" s="74"/>
      <c r="BL109" s="74"/>
      <c r="BM109" s="74"/>
      <c r="BN109" s="74"/>
      <c r="BO109" s="74"/>
      <c r="BP109" s="74"/>
      <c r="BQ109" s="74"/>
      <c r="BR109" s="74"/>
      <c r="BS109" s="74"/>
      <c r="BT109" s="74"/>
      <c r="BU109" s="74"/>
      <c r="BV109" s="74"/>
      <c r="BW109" s="74"/>
    </row>
    <row r="110" spans="2:75" x14ac:dyDescent="0.25">
      <c r="B110" s="74"/>
      <c r="C110" s="74"/>
      <c r="F110" s="244"/>
      <c r="G110" s="244"/>
      <c r="H110" s="244"/>
      <c r="I110" s="244"/>
      <c r="J110" s="245"/>
      <c r="K110" s="244"/>
      <c r="L110" s="244"/>
      <c r="M110" s="244"/>
      <c r="N110" s="244"/>
      <c r="O110" s="244"/>
      <c r="P110" s="244"/>
      <c r="Q110" s="244"/>
      <c r="R110" s="244"/>
      <c r="S110" s="112"/>
      <c r="T110" s="112"/>
      <c r="U110" s="112"/>
      <c r="V110" s="112"/>
      <c r="W110" s="112"/>
      <c r="X110" s="112"/>
      <c r="Y110" s="216"/>
      <c r="Z110" s="112"/>
      <c r="AA110" s="112"/>
      <c r="AC110" s="86"/>
      <c r="AD110" s="169"/>
      <c r="AE110" s="169"/>
      <c r="AF110" s="169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W110" s="74"/>
      <c r="AX110" s="74"/>
      <c r="AY110" s="74"/>
      <c r="AZ110" s="74"/>
      <c r="BA110" s="74"/>
      <c r="BB110" s="74"/>
      <c r="BC110" s="74"/>
      <c r="BD110" s="74"/>
      <c r="BE110" s="74"/>
      <c r="BF110" s="74"/>
      <c r="BG110" s="74"/>
      <c r="BH110" s="74"/>
      <c r="BI110" s="74"/>
      <c r="BJ110" s="74"/>
      <c r="BK110" s="74"/>
      <c r="BL110" s="74"/>
      <c r="BM110" s="74"/>
      <c r="BN110" s="74"/>
      <c r="BO110" s="74"/>
      <c r="BP110" s="74"/>
      <c r="BQ110" s="74"/>
      <c r="BR110" s="74"/>
      <c r="BS110" s="74"/>
      <c r="BT110" s="74"/>
      <c r="BU110" s="74"/>
      <c r="BV110" s="74"/>
      <c r="BW110" s="74"/>
    </row>
    <row r="111" spans="2:75" x14ac:dyDescent="0.25">
      <c r="B111" s="74"/>
      <c r="C111" s="74"/>
      <c r="E111" s="74" t="s">
        <v>539</v>
      </c>
      <c r="F111" s="175">
        <f>F103-F57</f>
        <v>0</v>
      </c>
      <c r="G111" s="175">
        <f t="shared" ref="G111:N111" si="22">G103-G57</f>
        <v>0</v>
      </c>
      <c r="H111" s="175">
        <f t="shared" si="22"/>
        <v>0</v>
      </c>
      <c r="I111" s="175">
        <f t="shared" si="22"/>
        <v>0</v>
      </c>
      <c r="J111" s="175">
        <f t="shared" si="22"/>
        <v>0</v>
      </c>
      <c r="K111" s="175">
        <f t="shared" si="22"/>
        <v>0</v>
      </c>
      <c r="L111" s="175">
        <f t="shared" si="22"/>
        <v>0</v>
      </c>
      <c r="M111" s="175">
        <f t="shared" si="22"/>
        <v>0</v>
      </c>
      <c r="N111" s="175">
        <f t="shared" si="22"/>
        <v>0</v>
      </c>
      <c r="R111" s="86"/>
      <c r="X111" s="112"/>
      <c r="Y111" s="216"/>
      <c r="AA111" s="112"/>
      <c r="AC111" s="86"/>
      <c r="AD111" s="169"/>
      <c r="AE111" s="169"/>
      <c r="AF111" s="169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W111" s="74"/>
      <c r="AX111" s="74"/>
      <c r="AY111" s="74"/>
      <c r="AZ111" s="74"/>
      <c r="BA111" s="74"/>
      <c r="BB111" s="74"/>
      <c r="BC111" s="74"/>
      <c r="BD111" s="74"/>
      <c r="BE111" s="74"/>
      <c r="BF111" s="74"/>
      <c r="BG111" s="74"/>
      <c r="BH111" s="74"/>
      <c r="BI111" s="74"/>
      <c r="BJ111" s="74"/>
      <c r="BK111" s="74"/>
      <c r="BL111" s="74"/>
      <c r="BM111" s="74"/>
      <c r="BN111" s="74"/>
      <c r="BO111" s="74"/>
      <c r="BP111" s="74"/>
      <c r="BQ111" s="74"/>
      <c r="BR111" s="74"/>
      <c r="BS111" s="74"/>
      <c r="BT111" s="74"/>
      <c r="BU111" s="74"/>
      <c r="BV111" s="74"/>
      <c r="BW111" s="74"/>
    </row>
    <row r="112" spans="2:75" x14ac:dyDescent="0.25">
      <c r="B112" s="74"/>
      <c r="C112" s="74"/>
      <c r="R112" s="86"/>
      <c r="X112" s="112"/>
      <c r="Y112" s="216"/>
      <c r="AA112" s="112"/>
      <c r="AC112" s="86"/>
      <c r="AD112" s="169"/>
      <c r="AE112" s="169"/>
      <c r="AF112" s="169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W112" s="74"/>
      <c r="AX112" s="74"/>
      <c r="AY112" s="74"/>
      <c r="AZ112" s="74"/>
      <c r="BA112" s="74"/>
      <c r="BB112" s="74"/>
      <c r="BC112" s="74"/>
      <c r="BD112" s="74"/>
      <c r="BE112" s="74"/>
      <c r="BF112" s="74"/>
      <c r="BG112" s="74"/>
      <c r="BH112" s="74"/>
      <c r="BI112" s="74"/>
      <c r="BJ112" s="74"/>
      <c r="BK112" s="74"/>
      <c r="BL112" s="74"/>
      <c r="BM112" s="74"/>
      <c r="BN112" s="74"/>
      <c r="BO112" s="74"/>
      <c r="BP112" s="74"/>
      <c r="BQ112" s="74"/>
      <c r="BR112" s="74"/>
      <c r="BS112" s="74"/>
      <c r="BT112" s="74"/>
      <c r="BU112" s="74"/>
      <c r="BV112" s="74"/>
      <c r="BW112" s="74"/>
    </row>
    <row r="113" spans="2:75" x14ac:dyDescent="0.25">
      <c r="B113" s="74"/>
      <c r="C113" s="74"/>
      <c r="R113" s="86"/>
      <c r="X113" s="112"/>
      <c r="Y113" s="216"/>
      <c r="AC113" s="86"/>
      <c r="AD113" s="169"/>
      <c r="AE113" s="169"/>
      <c r="AF113" s="169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W113" s="74"/>
      <c r="AX113" s="74"/>
      <c r="AY113" s="74"/>
      <c r="AZ113" s="74"/>
      <c r="BA113" s="74"/>
      <c r="BB113" s="74"/>
      <c r="BC113" s="74"/>
      <c r="BD113" s="74"/>
      <c r="BE113" s="74"/>
      <c r="BF113" s="74"/>
      <c r="BG113" s="74"/>
      <c r="BH113" s="74"/>
      <c r="BI113" s="74"/>
      <c r="BJ113" s="74"/>
      <c r="BK113" s="74"/>
      <c r="BL113" s="74"/>
      <c r="BM113" s="74"/>
      <c r="BN113" s="74"/>
      <c r="BO113" s="74"/>
      <c r="BP113" s="74"/>
      <c r="BQ113" s="74"/>
      <c r="BR113" s="74"/>
      <c r="BS113" s="74"/>
      <c r="BT113" s="74"/>
      <c r="BU113" s="74"/>
      <c r="BV113" s="74"/>
      <c r="BW113" s="74"/>
    </row>
    <row r="114" spans="2:75" x14ac:dyDescent="0.25">
      <c r="B114" s="74"/>
      <c r="C114" s="74"/>
      <c r="R114" s="86"/>
      <c r="X114" s="112"/>
      <c r="Y114" s="216"/>
      <c r="AC114" s="86"/>
      <c r="AD114" s="169"/>
      <c r="AE114" s="169"/>
      <c r="AF114" s="169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/>
      <c r="BM114" s="74"/>
      <c r="BN114" s="74"/>
      <c r="BO114" s="74"/>
      <c r="BP114" s="74"/>
      <c r="BQ114" s="74"/>
      <c r="BR114" s="74"/>
      <c r="BS114" s="74"/>
      <c r="BT114" s="74"/>
      <c r="BU114" s="74"/>
      <c r="BV114" s="74"/>
      <c r="BW114" s="74"/>
    </row>
    <row r="115" spans="2:75" x14ac:dyDescent="0.25">
      <c r="B115" s="74"/>
      <c r="C115" s="74"/>
      <c r="R115" s="86"/>
      <c r="X115" s="112"/>
      <c r="Y115" s="216"/>
      <c r="AC115" s="86"/>
      <c r="AD115" s="169"/>
      <c r="AE115" s="169"/>
      <c r="AF115" s="169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</row>
    <row r="116" spans="2:75" x14ac:dyDescent="0.25">
      <c r="B116" s="74"/>
      <c r="C116" s="74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86"/>
      <c r="S116" s="112"/>
      <c r="T116" s="112"/>
      <c r="U116" s="112"/>
      <c r="V116" s="112"/>
      <c r="W116" s="112"/>
      <c r="X116" s="112"/>
      <c r="Y116" s="216"/>
      <c r="AC116" s="86"/>
      <c r="AD116" s="169"/>
      <c r="AE116" s="169"/>
      <c r="AF116" s="169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</row>
    <row r="117" spans="2:75" x14ac:dyDescent="0.25">
      <c r="B117" s="74"/>
      <c r="C117" s="74"/>
      <c r="R117" s="86"/>
      <c r="X117" s="112"/>
      <c r="Y117" s="216"/>
      <c r="AC117" s="86"/>
      <c r="AD117" s="169"/>
      <c r="AE117" s="169"/>
      <c r="AF117" s="169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  <c r="BD117" s="74"/>
      <c r="BE117" s="74"/>
      <c r="BF117" s="74"/>
      <c r="BG117" s="74"/>
      <c r="BH117" s="74"/>
      <c r="BI117" s="74"/>
      <c r="BJ117" s="74"/>
      <c r="BK117" s="74"/>
      <c r="BL117" s="74"/>
      <c r="BM117" s="74"/>
      <c r="BN117" s="74"/>
      <c r="BO117" s="74"/>
      <c r="BP117" s="74"/>
      <c r="BQ117" s="74"/>
      <c r="BR117" s="74"/>
      <c r="BS117" s="74"/>
      <c r="BT117" s="74"/>
      <c r="BU117" s="74"/>
      <c r="BV117" s="74"/>
      <c r="BW117" s="74"/>
    </row>
    <row r="118" spans="2:75" x14ac:dyDescent="0.25">
      <c r="B118" s="74"/>
      <c r="C118" s="74"/>
      <c r="R118" s="86"/>
      <c r="X118" s="112"/>
      <c r="Y118" s="216"/>
      <c r="AC118" s="86"/>
      <c r="AD118" s="169"/>
      <c r="AE118" s="169"/>
      <c r="AF118" s="169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W118" s="74"/>
      <c r="AX118" s="74"/>
      <c r="AY118" s="74"/>
      <c r="AZ118" s="74"/>
      <c r="BA118" s="74"/>
      <c r="BB118" s="74"/>
      <c r="BC118" s="74"/>
      <c r="BD118" s="74"/>
      <c r="BE118" s="74"/>
      <c r="BF118" s="74"/>
      <c r="BG118" s="74"/>
      <c r="BH118" s="74"/>
      <c r="BI118" s="74"/>
      <c r="BJ118" s="74"/>
      <c r="BK118" s="74"/>
      <c r="BL118" s="74"/>
      <c r="BM118" s="74"/>
      <c r="BN118" s="74"/>
      <c r="BO118" s="74"/>
      <c r="BP118" s="74"/>
      <c r="BQ118" s="74"/>
      <c r="BR118" s="74"/>
      <c r="BS118" s="74"/>
      <c r="BT118" s="74"/>
      <c r="BU118" s="74"/>
      <c r="BV118" s="74"/>
      <c r="BW118" s="74"/>
    </row>
    <row r="119" spans="2:75" x14ac:dyDescent="0.25">
      <c r="B119" s="74"/>
      <c r="C119" s="74"/>
      <c r="R119" s="86"/>
      <c r="X119" s="112"/>
      <c r="Y119" s="216"/>
      <c r="AC119" s="86"/>
      <c r="AD119" s="169"/>
      <c r="AE119" s="169"/>
      <c r="AF119" s="169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W119" s="74"/>
      <c r="AX119" s="74"/>
      <c r="AY119" s="74"/>
      <c r="AZ119" s="74"/>
      <c r="BA119" s="74"/>
      <c r="BB119" s="74"/>
      <c r="BC119" s="74"/>
      <c r="BD119" s="74"/>
      <c r="BE119" s="74"/>
      <c r="BF119" s="74"/>
      <c r="BG119" s="74"/>
      <c r="BH119" s="74"/>
      <c r="BI119" s="74"/>
      <c r="BJ119" s="74"/>
      <c r="BK119" s="74"/>
      <c r="BL119" s="74"/>
      <c r="BM119" s="74"/>
      <c r="BN119" s="74"/>
      <c r="BO119" s="74"/>
      <c r="BP119" s="74"/>
      <c r="BQ119" s="74"/>
      <c r="BR119" s="74"/>
      <c r="BS119" s="74"/>
      <c r="BT119" s="74"/>
      <c r="BU119" s="74"/>
      <c r="BV119" s="74"/>
      <c r="BW119" s="74"/>
    </row>
    <row r="120" spans="2:75" x14ac:dyDescent="0.25">
      <c r="R120" s="86"/>
      <c r="AD120" s="169"/>
    </row>
    <row r="121" spans="2:75" x14ac:dyDescent="0.25">
      <c r="R121" s="86"/>
      <c r="AD121" s="169"/>
    </row>
    <row r="122" spans="2:75" x14ac:dyDescent="0.25">
      <c r="R122" s="86"/>
    </row>
  </sheetData>
  <conditionalFormatting sqref="F60:R60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B1:U63"/>
  <sheetViews>
    <sheetView zoomScaleNormal="100" workbookViewId="0"/>
  </sheetViews>
  <sheetFormatPr defaultColWidth="9.140625" defaultRowHeight="15.75" x14ac:dyDescent="0.25"/>
  <cols>
    <col min="1" max="1" width="2" style="393" customWidth="1"/>
    <col min="2" max="2" width="7.140625" style="392" customWidth="1"/>
    <col min="3" max="3" width="45.85546875" style="393" customWidth="1"/>
    <col min="4" max="11" width="11.5703125" style="394" customWidth="1"/>
    <col min="12" max="12" width="11.5703125" style="393" customWidth="1"/>
    <col min="13" max="13" width="1.140625" style="393" customWidth="1"/>
    <col min="14" max="15" width="9.140625" style="393"/>
    <col min="16" max="16" width="10.140625" style="393" bestFit="1" customWidth="1"/>
    <col min="17" max="16384" width="9.140625" style="393"/>
  </cols>
  <sheetData>
    <row r="1" spans="2:21" x14ac:dyDescent="0.25">
      <c r="K1" s="395"/>
    </row>
    <row r="2" spans="2:21" ht="16.5" thickBot="1" x14ac:dyDescent="0.3">
      <c r="B2" s="394"/>
    </row>
    <row r="3" spans="2:21" x14ac:dyDescent="0.25">
      <c r="B3" s="396"/>
      <c r="C3" s="397"/>
      <c r="D3" s="398"/>
      <c r="E3" s="398"/>
      <c r="F3" s="398"/>
      <c r="G3" s="398"/>
      <c r="H3" s="398"/>
      <c r="I3" s="398"/>
      <c r="J3" s="398"/>
      <c r="K3" s="398"/>
      <c r="L3" s="397"/>
      <c r="M3" s="399"/>
      <c r="P3" s="400"/>
      <c r="Q3" s="400"/>
      <c r="R3" s="400"/>
      <c r="S3" s="400"/>
      <c r="T3" s="400"/>
      <c r="U3" s="400"/>
    </row>
    <row r="4" spans="2:21" x14ac:dyDescent="0.25">
      <c r="B4" s="401" t="s">
        <v>348</v>
      </c>
      <c r="C4" s="402"/>
      <c r="L4" s="402"/>
      <c r="M4" s="403"/>
    </row>
    <row r="5" spans="2:21" x14ac:dyDescent="0.25">
      <c r="B5" s="401" t="s">
        <v>184</v>
      </c>
      <c r="C5" s="404" t="str">
        <f>Company_Name</f>
        <v>SOME RANDOM COMPANY LTD.</v>
      </c>
      <c r="I5" s="402"/>
      <c r="L5" s="405" t="s">
        <v>349</v>
      </c>
      <c r="M5" s="403"/>
    </row>
    <row r="6" spans="2:21" x14ac:dyDescent="0.25">
      <c r="B6" s="406"/>
      <c r="C6" s="402"/>
      <c r="G6" s="407"/>
      <c r="H6" s="407"/>
      <c r="I6" s="407"/>
      <c r="J6" s="407"/>
      <c r="K6" s="407"/>
      <c r="L6" s="408"/>
      <c r="M6" s="403"/>
    </row>
    <row r="7" spans="2:21" x14ac:dyDescent="0.25">
      <c r="B7" s="409" t="s">
        <v>350</v>
      </c>
      <c r="C7" s="474" t="s">
        <v>186</v>
      </c>
      <c r="D7" s="410" t="str">
        <f>+[1]BS!F7</f>
        <v>(Proj.)</v>
      </c>
      <c r="E7" s="410" t="str">
        <f>+[1]BS!G7</f>
        <v>(Proj.)</v>
      </c>
      <c r="F7" s="410" t="str">
        <f>+[1]BS!H7</f>
        <v>(Proj.)</v>
      </c>
      <c r="G7" s="410" t="str">
        <f>+[1]BS!I7</f>
        <v>(Proj.)</v>
      </c>
      <c r="H7" s="410" t="str">
        <f>+[1]BS!J7</f>
        <v>(Proj.)</v>
      </c>
      <c r="I7" s="410" t="str">
        <f>+[1]BS!K7</f>
        <v>(Proj.)</v>
      </c>
      <c r="J7" s="410" t="str">
        <f>+[1]BS!L7</f>
        <v>(Proj.)</v>
      </c>
      <c r="K7" s="410" t="str">
        <f>+[1]BS!M7</f>
        <v>(Proj.)</v>
      </c>
      <c r="L7" s="410" t="str">
        <f>+[1]BS!N7</f>
        <v>(Proj.)</v>
      </c>
      <c r="M7" s="403"/>
    </row>
    <row r="8" spans="2:21" x14ac:dyDescent="0.25">
      <c r="B8" s="409" t="s">
        <v>187</v>
      </c>
      <c r="C8" s="474"/>
      <c r="D8" s="411">
        <f>+[1]BS!F8</f>
        <v>2023</v>
      </c>
      <c r="E8" s="411">
        <f>+[1]BS!G8</f>
        <v>2024</v>
      </c>
      <c r="F8" s="411">
        <f>+[1]BS!H8</f>
        <v>2025</v>
      </c>
      <c r="G8" s="411">
        <f>+[1]BS!I8</f>
        <v>2026</v>
      </c>
      <c r="H8" s="411">
        <f>+[1]BS!J8</f>
        <v>2027</v>
      </c>
      <c r="I8" s="411">
        <f>+[1]BS!K8</f>
        <v>2028</v>
      </c>
      <c r="J8" s="411">
        <f>+[1]BS!L8</f>
        <v>2029</v>
      </c>
      <c r="K8" s="411">
        <f>+[1]BS!M8</f>
        <v>2030</v>
      </c>
      <c r="L8" s="411">
        <f>+[1]BS!N8</f>
        <v>2031</v>
      </c>
      <c r="M8" s="403"/>
    </row>
    <row r="9" spans="2:21" x14ac:dyDescent="0.25">
      <c r="B9" s="412" t="s">
        <v>351</v>
      </c>
      <c r="C9" s="404" t="s">
        <v>352</v>
      </c>
      <c r="D9" s="413"/>
      <c r="E9" s="413"/>
      <c r="F9" s="413"/>
      <c r="G9" s="413"/>
      <c r="H9" s="413"/>
      <c r="I9" s="413"/>
      <c r="J9" s="413"/>
      <c r="K9" s="413"/>
      <c r="L9" s="413"/>
      <c r="M9" s="403"/>
    </row>
    <row r="10" spans="2:21" x14ac:dyDescent="0.25">
      <c r="B10" s="414"/>
      <c r="C10" s="402"/>
      <c r="D10" s="415"/>
      <c r="E10" s="415"/>
      <c r="F10" s="415"/>
      <c r="G10" s="415"/>
      <c r="H10" s="415"/>
      <c r="I10" s="415"/>
      <c r="J10" s="415"/>
      <c r="K10" s="415"/>
      <c r="L10" s="415"/>
      <c r="M10" s="403"/>
    </row>
    <row r="11" spans="2:21" x14ac:dyDescent="0.25">
      <c r="B11" s="414"/>
      <c r="C11" s="402" t="s">
        <v>353</v>
      </c>
      <c r="D11" s="416">
        <f>BS!F50</f>
        <v>73.547110793870758</v>
      </c>
      <c r="E11" s="416">
        <f>BS!G50-BS!F50</f>
        <v>0</v>
      </c>
      <c r="F11" s="416">
        <f>BS!H50-BS!G50</f>
        <v>0</v>
      </c>
      <c r="G11" s="416">
        <f>BS!I50-BS!H50</f>
        <v>0</v>
      </c>
      <c r="H11" s="416">
        <f>BS!J50-BS!I50</f>
        <v>0</v>
      </c>
      <c r="I11" s="416">
        <f>BS!K50-BS!J50</f>
        <v>0</v>
      </c>
      <c r="J11" s="416">
        <f>BS!L50-BS!K50</f>
        <v>0</v>
      </c>
      <c r="K11" s="416">
        <f>BS!M50-BS!L50</f>
        <v>0</v>
      </c>
      <c r="L11" s="416">
        <f>BS!N50-BS!M50</f>
        <v>0</v>
      </c>
      <c r="M11" s="403"/>
    </row>
    <row r="12" spans="2:21" x14ac:dyDescent="0.25">
      <c r="B12" s="414"/>
      <c r="C12" s="402" t="s">
        <v>354</v>
      </c>
      <c r="D12" s="417">
        <f>SUM(BS!F51:F55)-PL!F57</f>
        <v>0</v>
      </c>
      <c r="E12" s="417">
        <f>SUM(BS!G51:G55)-SUM(BS!F51:F55)-PL!G57</f>
        <v>0</v>
      </c>
      <c r="F12" s="417">
        <f>SUM(BS!H51:H55)-SUM(BS!G51:G55)-PL!H57</f>
        <v>0</v>
      </c>
      <c r="G12" s="417">
        <f>SUM(BS!I51:I55)-SUM(BS!H51:H55)-PL!I57</f>
        <v>0</v>
      </c>
      <c r="H12" s="417">
        <f>SUM(BS!J51:J55)-SUM(BS!I51:I55)-PL!J57</f>
        <v>0</v>
      </c>
      <c r="I12" s="417">
        <f>SUM(BS!K51:K55)-SUM(BS!J51:J55)-PL!K57</f>
        <v>0</v>
      </c>
      <c r="J12" s="417">
        <f>SUM(BS!L51:L55)-SUM(BS!K51:K55)-PL!L57</f>
        <v>0</v>
      </c>
      <c r="K12" s="417">
        <f>SUM(BS!M51:M55)-SUM(BS!L51:L55)-PL!M57</f>
        <v>0</v>
      </c>
      <c r="L12" s="417">
        <f>SUM(BS!N51:N55)-SUM(BS!M51:M55)-PL!N57</f>
        <v>0</v>
      </c>
      <c r="M12" s="403"/>
    </row>
    <row r="13" spans="2:21" x14ac:dyDescent="0.25">
      <c r="B13" s="414"/>
      <c r="C13" s="402" t="s">
        <v>355</v>
      </c>
      <c r="D13" s="417">
        <f>PL!F53+PL!F48</f>
        <v>0.19741632349651184</v>
      </c>
      <c r="E13" s="417">
        <f>PL!G53+PL!G48</f>
        <v>15.056562750408439</v>
      </c>
      <c r="F13" s="417">
        <f>PL!H53+PL!H48</f>
        <v>30.799143193576676</v>
      </c>
      <c r="G13" s="417">
        <f>PL!I53+PL!I48</f>
        <v>41.363186874332193</v>
      </c>
      <c r="H13" s="417">
        <f>PL!J53+PL!J48</f>
        <v>51.6808573461105</v>
      </c>
      <c r="I13" s="417">
        <f>PL!K53+PL!K48</f>
        <v>61.832017264495988</v>
      </c>
      <c r="J13" s="417">
        <f>PL!L53+PL!L48</f>
        <v>71.905969006495312</v>
      </c>
      <c r="K13" s="417">
        <f>PL!M53+PL!M48</f>
        <v>81.999959861108877</v>
      </c>
      <c r="L13" s="417">
        <f>PL!N53+PL!N48</f>
        <v>86.239295470612092</v>
      </c>
      <c r="M13" s="403"/>
    </row>
    <row r="14" spans="2:21" x14ac:dyDescent="0.25">
      <c r="B14" s="414"/>
      <c r="C14" s="402" t="s">
        <v>356</v>
      </c>
      <c r="D14" s="417">
        <f>+PL!F32</f>
        <v>31.133717359977982</v>
      </c>
      <c r="E14" s="417">
        <f>+PL!G32</f>
        <v>25.579400226670604</v>
      </c>
      <c r="F14" s="417">
        <f>+PL!H32</f>
        <v>21.024563618079021</v>
      </c>
      <c r="G14" s="417">
        <f>+PL!I32</f>
        <v>17.288382759940202</v>
      </c>
      <c r="H14" s="417">
        <f>+PL!J32</f>
        <v>14.222877330432064</v>
      </c>
      <c r="I14" s="417">
        <f>+PL!K32</f>
        <v>11.706923859048473</v>
      </c>
      <c r="J14" s="417">
        <f>+PL!L32</f>
        <v>9.6413641797329568</v>
      </c>
      <c r="K14" s="417">
        <f>+PL!M32</f>
        <v>7.9450082516134186</v>
      </c>
      <c r="L14" s="417">
        <f>+PL!N32</f>
        <v>6.5513670316446886</v>
      </c>
      <c r="M14" s="403"/>
    </row>
    <row r="15" spans="2:21" x14ac:dyDescent="0.25">
      <c r="B15" s="414"/>
      <c r="C15" s="402" t="s">
        <v>357</v>
      </c>
      <c r="D15" s="417"/>
      <c r="E15" s="417"/>
      <c r="F15" s="417"/>
      <c r="G15" s="417"/>
      <c r="H15" s="417"/>
      <c r="I15" s="417"/>
      <c r="J15" s="417"/>
      <c r="K15" s="417"/>
      <c r="L15" s="417"/>
      <c r="M15" s="403"/>
    </row>
    <row r="16" spans="2:21" x14ac:dyDescent="0.25">
      <c r="B16" s="414"/>
      <c r="C16" s="402" t="s">
        <v>358</v>
      </c>
      <c r="D16" s="417">
        <f>BS!F39</f>
        <v>119.51405504003999</v>
      </c>
      <c r="E16" s="417">
        <f>IF(BS!G39-BS!F39&gt;0,BS!G39-BS!F39,0)</f>
        <v>0</v>
      </c>
      <c r="F16" s="417">
        <f>IF(BS!H39-BS!G39&gt;0,BS!H39-BS!G39,0)</f>
        <v>0</v>
      </c>
      <c r="G16" s="417">
        <f>IF(BS!I39-BS!H39&gt;0,BS!I39-BS!H39,0)</f>
        <v>0</v>
      </c>
      <c r="H16" s="417">
        <f>IF(BS!J39-BS!I39&gt;0,BS!J39-BS!I39,0)</f>
        <v>0</v>
      </c>
      <c r="I16" s="417">
        <f>IF(BS!K39-BS!J39&gt;0,BS!K39-BS!J39,0)</f>
        <v>0</v>
      </c>
      <c r="J16" s="417">
        <f>IF(BS!L39-BS!K39&gt;0,BS!L39-BS!K39,0)</f>
        <v>0</v>
      </c>
      <c r="K16" s="417">
        <f>IF(BS!M39-BS!L39&gt;0,BS!M39-BS!L39,0)</f>
        <v>0</v>
      </c>
      <c r="L16" s="417">
        <f>IF(BS!N39-BS!M39&gt;0,BS!N39-BS!M39,0)</f>
        <v>1.7763568394002505E-15</v>
      </c>
      <c r="M16" s="403"/>
    </row>
    <row r="17" spans="2:13" x14ac:dyDescent="0.25">
      <c r="B17" s="414"/>
      <c r="C17" s="402" t="s">
        <v>359</v>
      </c>
      <c r="D17" s="417"/>
      <c r="E17" s="417"/>
      <c r="F17" s="417"/>
      <c r="G17" s="417"/>
      <c r="H17" s="417"/>
      <c r="I17" s="417"/>
      <c r="J17" s="417"/>
      <c r="K17" s="417"/>
      <c r="L17" s="417"/>
      <c r="M17" s="403"/>
    </row>
    <row r="18" spans="2:13" x14ac:dyDescent="0.25">
      <c r="B18" s="414"/>
      <c r="C18" s="402" t="s">
        <v>360</v>
      </c>
      <c r="D18" s="417">
        <f>BS!F15</f>
        <v>23</v>
      </c>
      <c r="E18" s="417">
        <f>BS!G15-BS!F15</f>
        <v>6</v>
      </c>
      <c r="F18" s="417">
        <f>BS!H15-BS!G15</f>
        <v>5</v>
      </c>
      <c r="G18" s="417">
        <f>BS!I15-BS!H15</f>
        <v>0</v>
      </c>
      <c r="H18" s="417">
        <f>BS!J15-BS!I15</f>
        <v>0</v>
      </c>
      <c r="I18" s="417">
        <f>BS!K15-BS!J15</f>
        <v>0</v>
      </c>
      <c r="J18" s="417">
        <f>BS!L15-BS!K15</f>
        <v>0</v>
      </c>
      <c r="K18" s="417">
        <f>BS!M15-BS!L15</f>
        <v>0</v>
      </c>
      <c r="L18" s="417">
        <f>BS!N15-BS!M15</f>
        <v>0</v>
      </c>
      <c r="M18" s="403"/>
    </row>
    <row r="19" spans="2:13" x14ac:dyDescent="0.25">
      <c r="B19" s="414"/>
      <c r="C19" s="402" t="s">
        <v>361</v>
      </c>
      <c r="D19" s="417">
        <f>BS!F33</f>
        <v>56.165959759325759</v>
      </c>
      <c r="E19" s="417">
        <f>BS!G33-BS!F33</f>
        <v>7.1216947790092888</v>
      </c>
      <c r="F19" s="417">
        <f>BS!H33-BS!G33</f>
        <v>7.4315865073002954</v>
      </c>
      <c r="G19" s="417">
        <f>BS!I33-BS!H33</f>
        <v>3.9313819986126219</v>
      </c>
      <c r="H19" s="417">
        <f>BS!J33-BS!I33</f>
        <v>4.0522932291364526</v>
      </c>
      <c r="I19" s="417">
        <f>BS!K33-BS!J33</f>
        <v>4.156337708274819</v>
      </c>
      <c r="J19" s="417">
        <f>BS!L33-BS!K33</f>
        <v>4.2594934679593308</v>
      </c>
      <c r="K19" s="417">
        <f>BS!M33-BS!L33</f>
        <v>4.3619978775789292</v>
      </c>
      <c r="L19" s="417">
        <f>BS!N33-BS!M33</f>
        <v>-16.483021758095745</v>
      </c>
      <c r="M19" s="403"/>
    </row>
    <row r="20" spans="2:13" x14ac:dyDescent="0.25">
      <c r="B20" s="414"/>
      <c r="C20" s="402" t="s">
        <v>362</v>
      </c>
      <c r="D20" s="417"/>
      <c r="E20" s="417"/>
      <c r="F20" s="417"/>
      <c r="G20" s="417"/>
      <c r="H20" s="417"/>
      <c r="I20" s="417"/>
      <c r="J20" s="417"/>
      <c r="K20" s="417"/>
      <c r="L20" s="417"/>
      <c r="M20" s="403"/>
    </row>
    <row r="21" spans="2:13" x14ac:dyDescent="0.25">
      <c r="B21" s="414"/>
      <c r="C21" s="402"/>
      <c r="D21" s="418"/>
      <c r="E21" s="418"/>
      <c r="F21" s="418"/>
      <c r="G21" s="418"/>
      <c r="H21" s="418"/>
      <c r="I21" s="418"/>
      <c r="J21" s="418"/>
      <c r="K21" s="418"/>
      <c r="L21" s="418"/>
      <c r="M21" s="403"/>
    </row>
    <row r="22" spans="2:13" ht="16.5" thickBot="1" x14ac:dyDescent="0.3">
      <c r="B22" s="414"/>
      <c r="C22" s="404" t="s">
        <v>363</v>
      </c>
      <c r="D22" s="419">
        <f>SUM(D11:D21)</f>
        <v>303.558259276711</v>
      </c>
      <c r="E22" s="419">
        <f>SUM(E11:E21)</f>
        <v>53.757657756088335</v>
      </c>
      <c r="F22" s="419">
        <f t="shared" ref="F22:L22" si="0">SUM(F11:F21)</f>
        <v>64.255293318955992</v>
      </c>
      <c r="G22" s="419">
        <f t="shared" si="0"/>
        <v>62.582951632885013</v>
      </c>
      <c r="H22" s="419">
        <f t="shared" si="0"/>
        <v>69.956027905679022</v>
      </c>
      <c r="I22" s="419">
        <f t="shared" si="0"/>
        <v>77.69527883181928</v>
      </c>
      <c r="J22" s="419">
        <f t="shared" si="0"/>
        <v>85.806826654187603</v>
      </c>
      <c r="K22" s="419">
        <f t="shared" si="0"/>
        <v>94.306965990301222</v>
      </c>
      <c r="L22" s="419">
        <f t="shared" si="0"/>
        <v>76.307640744161034</v>
      </c>
      <c r="M22" s="403"/>
    </row>
    <row r="23" spans="2:13" ht="16.5" thickTop="1" x14ac:dyDescent="0.25">
      <c r="B23" s="414"/>
      <c r="C23" s="402"/>
      <c r="D23" s="417"/>
      <c r="E23" s="417"/>
      <c r="F23" s="417"/>
      <c r="G23" s="417"/>
      <c r="H23" s="417"/>
      <c r="I23" s="417"/>
      <c r="J23" s="417"/>
      <c r="K23" s="417"/>
      <c r="L23" s="417"/>
      <c r="M23" s="403"/>
    </row>
    <row r="24" spans="2:13" x14ac:dyDescent="0.25">
      <c r="B24" s="420" t="s">
        <v>364</v>
      </c>
      <c r="C24" s="404" t="s">
        <v>365</v>
      </c>
      <c r="D24" s="417"/>
      <c r="E24" s="417"/>
      <c r="F24" s="417"/>
      <c r="G24" s="417"/>
      <c r="H24" s="417"/>
      <c r="I24" s="417"/>
      <c r="J24" s="417"/>
      <c r="K24" s="417"/>
      <c r="L24" s="417"/>
      <c r="M24" s="403"/>
    </row>
    <row r="25" spans="2:13" x14ac:dyDescent="0.25">
      <c r="B25" s="414"/>
      <c r="C25" s="402"/>
      <c r="D25" s="417"/>
      <c r="E25" s="417"/>
      <c r="F25" s="417"/>
      <c r="G25" s="417"/>
      <c r="H25" s="417"/>
      <c r="I25" s="417"/>
      <c r="J25" s="417"/>
      <c r="K25" s="417"/>
      <c r="L25" s="417"/>
      <c r="M25" s="403"/>
    </row>
    <row r="26" spans="2:13" x14ac:dyDescent="0.25">
      <c r="B26" s="414"/>
      <c r="C26" s="402" t="s">
        <v>366</v>
      </c>
      <c r="D26" s="417">
        <f>BS!F90</f>
        <v>185.12531775756867</v>
      </c>
      <c r="E26" s="417">
        <f>BS!G90-BS!F90</f>
        <v>0</v>
      </c>
      <c r="F26" s="417">
        <f>BS!H90-BS!G90</f>
        <v>0</v>
      </c>
      <c r="G26" s="417">
        <f>BS!I90-BS!H90</f>
        <v>0</v>
      </c>
      <c r="H26" s="417">
        <f>BS!J90-BS!I90</f>
        <v>0</v>
      </c>
      <c r="I26" s="417">
        <f>BS!K90-BS!J90</f>
        <v>0</v>
      </c>
      <c r="J26" s="417">
        <f>BS!L90-BS!K90</f>
        <v>0</v>
      </c>
      <c r="K26" s="417">
        <f>BS!M90-BS!L90</f>
        <v>0</v>
      </c>
      <c r="L26" s="417">
        <f>BS!N90-BS!M90</f>
        <v>0</v>
      </c>
      <c r="M26" s="403"/>
    </row>
    <row r="27" spans="2:13" x14ac:dyDescent="0.25">
      <c r="B27" s="414"/>
      <c r="C27" s="402" t="s">
        <v>367</v>
      </c>
      <c r="D27" s="417">
        <f>BS!F66+BS!F76+BS!F79+BS!F82</f>
        <v>73.840829415209825</v>
      </c>
      <c r="E27" s="417">
        <f>BS!G66+BS!G76+BS!G79+BS!G82-(BS!F66+BS!F76+BS!F79+BS!F82)</f>
        <v>16.331640910921564</v>
      </c>
      <c r="F27" s="417">
        <f>BS!H66+BS!H76+BS!H79+BS!H82-(BS!G66+BS!G76+BS!G79+BS!G82)</f>
        <v>15.934860427141771</v>
      </c>
      <c r="G27" s="417">
        <f>BS!I66+BS!I76+BS!I79+BS!I82-(BS!H66+BS!H76+BS!H79+BS!H82)</f>
        <v>8.7552120902229831</v>
      </c>
      <c r="H27" s="417">
        <f>BS!J66+BS!J76+BS!J79+BS!J82-(BS!I66+BS!I76+BS!I79+BS!I82)</f>
        <v>8.8468022586987729</v>
      </c>
      <c r="I27" s="417">
        <f>BS!K66+BS!K76+BS!K79+BS!K82-(BS!J66+BS!J76+BS!J79+BS!J82)</f>
        <v>9.031687802776915</v>
      </c>
      <c r="J27" s="417">
        <f>BS!L66+BS!L76+BS!L79+BS!L82-(BS!K66+BS!K76+BS!K79+BS!K82)</f>
        <v>9.2183402071500495</v>
      </c>
      <c r="K27" s="417">
        <f>BS!M66+BS!M76+BS!M79+BS!M82-(BS!L66+BS!L76+BS!L79+BS!L82)</f>
        <v>9.4066381051434007</v>
      </c>
      <c r="L27" s="417">
        <f>BS!N66+BS!N76+BS!N79+BS!N82-(BS!M66+BS!M76+BS!M79+BS!M82)</f>
        <v>1.6753679181103394</v>
      </c>
      <c r="M27" s="403"/>
    </row>
    <row r="28" spans="2:13" x14ac:dyDescent="0.25">
      <c r="B28" s="414"/>
      <c r="C28" s="402" t="s">
        <v>368</v>
      </c>
      <c r="D28" s="417">
        <f>BS!F83+BS!F85+BS!F86</f>
        <v>12.24552752712912</v>
      </c>
      <c r="E28" s="417">
        <f>BS!G83+BS!G85+BS!G86-(BS!F83+BS!F85+BS!F86)</f>
        <v>2.8138987697767917</v>
      </c>
      <c r="F28" s="417">
        <f>BS!H83+BS!H85+BS!H86-(BS!G83+BS!G85+BS!G86)</f>
        <v>4.3302867943236372</v>
      </c>
      <c r="G28" s="417">
        <f>BS!I83+BS!I85+BS!I86-(BS!H83+BS!H85+BS!H86)</f>
        <v>3.7099902005846843</v>
      </c>
      <c r="H28" s="417">
        <f>BS!J83+BS!J85+BS!J86-(BS!I83+BS!I85+BS!I86)</f>
        <v>4.352528000148741</v>
      </c>
      <c r="I28" s="417">
        <f>BS!K83+BS!K85+BS!K86-(BS!J83+BS!J85+BS!J86)</f>
        <v>5.2399176878362113</v>
      </c>
      <c r="J28" s="417">
        <f>BS!L83+BS!L85+BS!L86-(BS!K83+BS!K85+BS!K86)</f>
        <v>6.4858316369134172</v>
      </c>
      <c r="K28" s="417">
        <f>BS!M83+BS!M85+BS!M86-(BS!L83+BS!L85+BS!L86)</f>
        <v>8.2313866542844352</v>
      </c>
      <c r="L28" s="417">
        <f>BS!N83+BS!N85+BS!N86-(BS!M83+BS!M85+BS!M86)</f>
        <v>9.1149963715947848</v>
      </c>
      <c r="M28" s="403"/>
    </row>
    <row r="29" spans="2:13" x14ac:dyDescent="0.25">
      <c r="B29" s="414"/>
      <c r="C29" s="402" t="s">
        <v>369</v>
      </c>
      <c r="D29" s="417">
        <v>0</v>
      </c>
      <c r="E29" s="417">
        <f>IF(BS!G39-BS!F39&lt;0,BS!F39-BS!G39,0)</f>
        <v>17.073436434291438</v>
      </c>
      <c r="F29" s="417">
        <f>IF(BS!H39-BS!G39&lt;0,BS!G39-BS!H39,0)</f>
        <v>17.073436434291409</v>
      </c>
      <c r="G29" s="417">
        <f>IF(BS!I39-BS!H39&lt;0,BS!H39-BS!I39,0)</f>
        <v>17.073436434291409</v>
      </c>
      <c r="H29" s="417">
        <f>IF(BS!J39-BS!I39&lt;0,BS!I39-BS!J39,0)</f>
        <v>17.073436434291409</v>
      </c>
      <c r="I29" s="417">
        <f>IF(BS!K39-BS!J39&lt;0,BS!J39-BS!K39,0)</f>
        <v>17.073436434291438</v>
      </c>
      <c r="J29" s="417">
        <f>IF(BS!L39-BS!K39&lt;0,BS!K39-BS!L39,0)</f>
        <v>17.073436434291434</v>
      </c>
      <c r="K29" s="417">
        <f>IF(BS!M39-BS!L39&lt;0,BS!L39-BS!M39,0)</f>
        <v>17.073436434291423</v>
      </c>
      <c r="L29" s="417">
        <f>IF(BS!N39-BS!M39&lt;0,BS!M39-BS!N39,0)</f>
        <v>0</v>
      </c>
      <c r="M29" s="403"/>
    </row>
    <row r="30" spans="2:13" x14ac:dyDescent="0.25">
      <c r="B30" s="414"/>
      <c r="C30" s="402" t="s">
        <v>370</v>
      </c>
      <c r="D30" s="417"/>
      <c r="E30" s="417"/>
      <c r="F30" s="417"/>
      <c r="G30" s="417"/>
      <c r="H30" s="417"/>
      <c r="I30" s="417"/>
      <c r="J30" s="417"/>
      <c r="K30" s="417"/>
      <c r="L30" s="417"/>
      <c r="M30" s="403"/>
    </row>
    <row r="31" spans="2:13" x14ac:dyDescent="0.25">
      <c r="B31" s="414"/>
      <c r="C31" s="402" t="s">
        <v>371</v>
      </c>
      <c r="D31" s="417">
        <f>BS!F99</f>
        <v>1</v>
      </c>
      <c r="E31" s="417">
        <f>BS!G99-BS!F99</f>
        <v>0</v>
      </c>
      <c r="F31" s="417">
        <f>BS!H99-BS!G99</f>
        <v>0</v>
      </c>
      <c r="G31" s="417">
        <f>BS!I99-BS!H99</f>
        <v>0</v>
      </c>
      <c r="H31" s="417">
        <f>BS!J99-BS!I99</f>
        <v>0</v>
      </c>
      <c r="I31" s="417">
        <f>BS!K99-BS!J99</f>
        <v>0</v>
      </c>
      <c r="J31" s="417">
        <f>BS!L99-BS!K99</f>
        <v>0</v>
      </c>
      <c r="K31" s="417">
        <f>BS!M99-BS!L99</f>
        <v>0</v>
      </c>
      <c r="L31" s="417">
        <f>BS!N99-BS!M99</f>
        <v>0</v>
      </c>
      <c r="M31" s="403"/>
    </row>
    <row r="32" spans="2:13" x14ac:dyDescent="0.25">
      <c r="B32" s="414"/>
      <c r="C32" s="402" t="s">
        <v>372</v>
      </c>
      <c r="D32" s="417">
        <f>+PL!F45</f>
        <v>16.390498976919769</v>
      </c>
      <c r="E32" s="417">
        <f>+PL!G45</f>
        <v>15.622194337376653</v>
      </c>
      <c r="F32" s="417">
        <f>+PL!H45</f>
        <v>13.573381965261687</v>
      </c>
      <c r="G32" s="417">
        <f>+PL!I45</f>
        <v>11.524569593146714</v>
      </c>
      <c r="H32" s="417">
        <f>+PL!J45</f>
        <v>9.4757572210317438</v>
      </c>
      <c r="I32" s="417">
        <f>+PL!K45</f>
        <v>7.4269448489167749</v>
      </c>
      <c r="J32" s="417">
        <f>+PL!L45</f>
        <v>5.3781324768018033</v>
      </c>
      <c r="K32" s="417">
        <f>+PL!M45</f>
        <v>3.3293201046868317</v>
      </c>
      <c r="L32" s="417">
        <f>+PL!N45</f>
        <v>1.2805077325718608</v>
      </c>
      <c r="M32" s="403"/>
    </row>
    <row r="33" spans="2:13" x14ac:dyDescent="0.25">
      <c r="B33" s="414"/>
      <c r="C33" s="402" t="s">
        <v>373</v>
      </c>
      <c r="D33" s="417">
        <f>+PL!F46</f>
        <v>2.5070000000000001</v>
      </c>
      <c r="E33" s="417">
        <f>+PL!G46</f>
        <v>3.161</v>
      </c>
      <c r="F33" s="417">
        <f>+PL!H46</f>
        <v>3.706</v>
      </c>
      <c r="G33" s="417">
        <f>+PL!I46</f>
        <v>3.706</v>
      </c>
      <c r="H33" s="417">
        <f>+PL!J46</f>
        <v>3.706</v>
      </c>
      <c r="I33" s="417">
        <f>+PL!K46</f>
        <v>3.706</v>
      </c>
      <c r="J33" s="417">
        <f>+PL!L46</f>
        <v>3.706</v>
      </c>
      <c r="K33" s="417">
        <f>+PL!M46</f>
        <v>3.706</v>
      </c>
      <c r="L33" s="417">
        <f>+PL!N46</f>
        <v>3.706</v>
      </c>
      <c r="M33" s="403"/>
    </row>
    <row r="34" spans="2:13" x14ac:dyDescent="0.25">
      <c r="B34" s="414"/>
      <c r="C34" s="402" t="s">
        <v>374</v>
      </c>
      <c r="D34" s="417">
        <f>+PL!F54</f>
        <v>0</v>
      </c>
      <c r="E34" s="417">
        <f>+PL!G54</f>
        <v>0</v>
      </c>
      <c r="F34" s="417">
        <f>+PL!H54</f>
        <v>2.1090827516171382</v>
      </c>
      <c r="G34" s="417">
        <f>+PL!I54</f>
        <v>4.0766882958649351</v>
      </c>
      <c r="H34" s="417">
        <f>+PL!J54</f>
        <v>6.005859619512286</v>
      </c>
      <c r="I34" s="417">
        <f>+PL!K54</f>
        <v>7.9090552968303562</v>
      </c>
      <c r="J34" s="417">
        <f>+PL!L54</f>
        <v>9.8002064986321873</v>
      </c>
      <c r="K34" s="417">
        <f>+PL!M54</f>
        <v>11.694483802001839</v>
      </c>
      <c r="L34" s="417">
        <f>+PL!N54</f>
        <v>12.675434887134275</v>
      </c>
      <c r="M34" s="403"/>
    </row>
    <row r="35" spans="2:13" x14ac:dyDescent="0.25">
      <c r="B35" s="414"/>
      <c r="C35" s="402"/>
      <c r="D35" s="418"/>
      <c r="E35" s="418"/>
      <c r="F35" s="418"/>
      <c r="G35" s="418"/>
      <c r="H35" s="418"/>
      <c r="I35" s="418"/>
      <c r="J35" s="418"/>
      <c r="K35" s="418"/>
      <c r="L35" s="418"/>
      <c r="M35" s="403"/>
    </row>
    <row r="36" spans="2:13" ht="16.5" thickBot="1" x14ac:dyDescent="0.3">
      <c r="B36" s="414"/>
      <c r="C36" s="404" t="s">
        <v>375</v>
      </c>
      <c r="D36" s="421">
        <f>SUM(D26:D35)</f>
        <v>291.10917367682742</v>
      </c>
      <c r="E36" s="421">
        <f>SUM(E26:E35)</f>
        <v>55.00217045236645</v>
      </c>
      <c r="F36" s="421">
        <f t="shared" ref="F36:L36" si="1">SUM(F26:F35)</f>
        <v>56.72704837263565</v>
      </c>
      <c r="G36" s="421">
        <f t="shared" si="1"/>
        <v>48.845896614110728</v>
      </c>
      <c r="H36" s="421">
        <f t="shared" si="1"/>
        <v>49.460383533682958</v>
      </c>
      <c r="I36" s="421">
        <f t="shared" si="1"/>
        <v>50.387042070651702</v>
      </c>
      <c r="J36" s="421">
        <f t="shared" si="1"/>
        <v>51.661947253788895</v>
      </c>
      <c r="K36" s="421">
        <f t="shared" si="1"/>
        <v>53.441265100407932</v>
      </c>
      <c r="L36" s="421">
        <f t="shared" si="1"/>
        <v>28.452306909411259</v>
      </c>
      <c r="M36" s="403"/>
    </row>
    <row r="37" spans="2:13" ht="16.5" thickTop="1" x14ac:dyDescent="0.25">
      <c r="B37" s="414"/>
      <c r="C37" s="402"/>
      <c r="D37" s="417"/>
      <c r="E37" s="417"/>
      <c r="F37" s="417"/>
      <c r="G37" s="417"/>
      <c r="H37" s="417"/>
      <c r="I37" s="417"/>
      <c r="J37" s="417"/>
      <c r="K37" s="417"/>
      <c r="L37" s="417"/>
      <c r="M37" s="403"/>
    </row>
    <row r="38" spans="2:13" x14ac:dyDescent="0.25">
      <c r="B38" s="420" t="s">
        <v>376</v>
      </c>
      <c r="C38" s="404" t="s">
        <v>377</v>
      </c>
      <c r="D38" s="422">
        <v>0</v>
      </c>
      <c r="E38" s="422">
        <f>D40</f>
        <v>12.449085599883574</v>
      </c>
      <c r="F38" s="422">
        <f t="shared" ref="F38:L38" si="2">E40</f>
        <v>11.20457290360546</v>
      </c>
      <c r="G38" s="422">
        <f t="shared" si="2"/>
        <v>18.732817849925802</v>
      </c>
      <c r="H38" s="422">
        <f t="shared" si="2"/>
        <v>32.469872868700087</v>
      </c>
      <c r="I38" s="422">
        <f t="shared" si="2"/>
        <v>52.965517240696151</v>
      </c>
      <c r="J38" s="422">
        <f t="shared" si="2"/>
        <v>80.273754001863722</v>
      </c>
      <c r="K38" s="422">
        <f t="shared" si="2"/>
        <v>114.41863340226243</v>
      </c>
      <c r="L38" s="422">
        <f t="shared" si="2"/>
        <v>155.28433429215573</v>
      </c>
      <c r="M38" s="403"/>
    </row>
    <row r="39" spans="2:13" s="424" customFormat="1" x14ac:dyDescent="0.25">
      <c r="B39" s="420" t="s">
        <v>378</v>
      </c>
      <c r="C39" s="404" t="s">
        <v>379</v>
      </c>
      <c r="D39" s="422">
        <f>+D22-D36</f>
        <v>12.449085599883574</v>
      </c>
      <c r="E39" s="422">
        <f>+E22-E36</f>
        <v>-1.2445126962781146</v>
      </c>
      <c r="F39" s="422">
        <f t="shared" ref="F39:L39" si="3">+F22-F36</f>
        <v>7.528244946320342</v>
      </c>
      <c r="G39" s="422">
        <f t="shared" si="3"/>
        <v>13.737055018774285</v>
      </c>
      <c r="H39" s="422">
        <f t="shared" si="3"/>
        <v>20.495644371996065</v>
      </c>
      <c r="I39" s="422">
        <f t="shared" si="3"/>
        <v>27.308236761167578</v>
      </c>
      <c r="J39" s="422">
        <f t="shared" si="3"/>
        <v>34.144879400398708</v>
      </c>
      <c r="K39" s="422">
        <f t="shared" si="3"/>
        <v>40.86570088989329</v>
      </c>
      <c r="L39" s="422">
        <f t="shared" si="3"/>
        <v>47.855333834749771</v>
      </c>
      <c r="M39" s="423"/>
    </row>
    <row r="40" spans="2:13" x14ac:dyDescent="0.25">
      <c r="B40" s="420" t="s">
        <v>380</v>
      </c>
      <c r="C40" s="404" t="s">
        <v>381</v>
      </c>
      <c r="D40" s="422">
        <f>D38+D39</f>
        <v>12.449085599883574</v>
      </c>
      <c r="E40" s="422">
        <f>E38+E39</f>
        <v>11.20457290360546</v>
      </c>
      <c r="F40" s="422">
        <f t="shared" ref="F40:L40" si="4">F38+F39</f>
        <v>18.732817849925802</v>
      </c>
      <c r="G40" s="422">
        <f t="shared" si="4"/>
        <v>32.469872868700087</v>
      </c>
      <c r="H40" s="422">
        <f t="shared" si="4"/>
        <v>52.965517240696151</v>
      </c>
      <c r="I40" s="422">
        <f t="shared" si="4"/>
        <v>80.273754001863722</v>
      </c>
      <c r="J40" s="422">
        <f t="shared" si="4"/>
        <v>114.41863340226243</v>
      </c>
      <c r="K40" s="422">
        <f t="shared" si="4"/>
        <v>155.28433429215573</v>
      </c>
      <c r="L40" s="422">
        <f t="shared" si="4"/>
        <v>203.13966812690552</v>
      </c>
      <c r="M40" s="403"/>
    </row>
    <row r="41" spans="2:13" ht="16.5" thickBot="1" x14ac:dyDescent="0.3">
      <c r="B41" s="425"/>
      <c r="C41" s="426"/>
      <c r="D41" s="427"/>
      <c r="E41" s="427"/>
      <c r="F41" s="427"/>
      <c r="G41" s="427"/>
      <c r="H41" s="427"/>
      <c r="I41" s="427"/>
      <c r="J41" s="428"/>
      <c r="K41" s="428"/>
      <c r="L41" s="428"/>
      <c r="M41" s="429"/>
    </row>
    <row r="42" spans="2:13" x14ac:dyDescent="0.25">
      <c r="D42" s="430"/>
      <c r="E42" s="430"/>
      <c r="F42" s="430"/>
      <c r="G42" s="430"/>
      <c r="H42" s="430"/>
      <c r="I42" s="430"/>
      <c r="L42" s="394"/>
    </row>
    <row r="43" spans="2:13" x14ac:dyDescent="0.25">
      <c r="C43" s="393" t="s">
        <v>539</v>
      </c>
      <c r="D43" s="431">
        <f>+D40-BS!F60</f>
        <v>-5.6843418860808015E-14</v>
      </c>
      <c r="E43" s="431">
        <f>+E40-BS!G60</f>
        <v>-4.9737991503207013E-14</v>
      </c>
      <c r="F43" s="431">
        <f>+F40-BS!H60</f>
        <v>-4.9737991503207013E-14</v>
      </c>
      <c r="G43" s="431">
        <f>+G40-BS!I60</f>
        <v>0</v>
      </c>
      <c r="H43" s="431">
        <f>+H40-BS!J60</f>
        <v>0</v>
      </c>
      <c r="I43" s="431">
        <f>+I40-BS!K60</f>
        <v>-1.2789769243681803E-13</v>
      </c>
      <c r="J43" s="431">
        <f>+J40-BS!L60</f>
        <v>0</v>
      </c>
      <c r="K43" s="431">
        <f>+K40-BS!M60</f>
        <v>0</v>
      </c>
      <c r="L43" s="431">
        <f>+L40-BS!N60</f>
        <v>0</v>
      </c>
    </row>
    <row r="44" spans="2:13" x14ac:dyDescent="0.25">
      <c r="D44" s="432"/>
      <c r="E44" s="432"/>
      <c r="F44" s="432"/>
      <c r="G44" s="432"/>
      <c r="H44" s="432"/>
      <c r="I44" s="432"/>
      <c r="J44" s="431"/>
      <c r="K44" s="431"/>
      <c r="L44" s="431"/>
    </row>
    <row r="45" spans="2:13" x14ac:dyDescent="0.25">
      <c r="D45" s="431"/>
      <c r="E45" s="431"/>
      <c r="F45" s="431"/>
      <c r="G45" s="431"/>
      <c r="H45" s="431"/>
      <c r="I45" s="431"/>
      <c r="J45" s="431"/>
      <c r="K45" s="431"/>
      <c r="L45" s="431"/>
    </row>
    <row r="46" spans="2:13" x14ac:dyDescent="0.25">
      <c r="D46" s="431"/>
      <c r="E46" s="431"/>
      <c r="F46" s="431"/>
      <c r="G46" s="431"/>
      <c r="H46" s="431"/>
      <c r="I46" s="431"/>
      <c r="L46" s="394"/>
    </row>
    <row r="47" spans="2:13" x14ac:dyDescent="0.25">
      <c r="D47" s="433"/>
      <c r="E47" s="433"/>
      <c r="F47" s="432"/>
      <c r="G47" s="434"/>
      <c r="H47" s="434"/>
      <c r="I47" s="434"/>
      <c r="L47" s="394"/>
    </row>
    <row r="48" spans="2:13" x14ac:dyDescent="0.25">
      <c r="D48" s="432"/>
      <c r="E48" s="432"/>
      <c r="F48" s="432"/>
      <c r="G48" s="432"/>
      <c r="H48" s="432"/>
      <c r="I48" s="432"/>
      <c r="L48" s="394"/>
    </row>
    <row r="49" spans="12:12" x14ac:dyDescent="0.25">
      <c r="L49" s="394"/>
    </row>
    <row r="50" spans="12:12" x14ac:dyDescent="0.25">
      <c r="L50" s="394"/>
    </row>
    <row r="51" spans="12:12" x14ac:dyDescent="0.25">
      <c r="L51" s="394"/>
    </row>
    <row r="52" spans="12:12" x14ac:dyDescent="0.25">
      <c r="L52" s="394"/>
    </row>
    <row r="53" spans="12:12" x14ac:dyDescent="0.25">
      <c r="L53" s="394"/>
    </row>
    <row r="54" spans="12:12" x14ac:dyDescent="0.25">
      <c r="L54" s="394"/>
    </row>
    <row r="55" spans="12:12" x14ac:dyDescent="0.25">
      <c r="L55" s="394"/>
    </row>
    <row r="56" spans="12:12" x14ac:dyDescent="0.25">
      <c r="L56" s="394"/>
    </row>
    <row r="57" spans="12:12" x14ac:dyDescent="0.25">
      <c r="L57" s="394"/>
    </row>
    <row r="58" spans="12:12" x14ac:dyDescent="0.25">
      <c r="L58" s="394"/>
    </row>
    <row r="59" spans="12:12" x14ac:dyDescent="0.25">
      <c r="L59" s="394"/>
    </row>
    <row r="60" spans="12:12" x14ac:dyDescent="0.25">
      <c r="L60" s="394"/>
    </row>
    <row r="61" spans="12:12" x14ac:dyDescent="0.25">
      <c r="L61" s="394"/>
    </row>
    <row r="62" spans="12:12" x14ac:dyDescent="0.25">
      <c r="L62" s="394"/>
    </row>
    <row r="63" spans="12:12" x14ac:dyDescent="0.25">
      <c r="L63" s="394"/>
    </row>
  </sheetData>
  <mergeCells count="1">
    <mergeCell ref="C7:C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B2:L47"/>
  <sheetViews>
    <sheetView zoomScale="120" zoomScaleNormal="120" workbookViewId="0"/>
  </sheetViews>
  <sheetFormatPr defaultRowHeight="15" x14ac:dyDescent="0.25"/>
  <cols>
    <col min="2" max="2" width="29.5703125" customWidth="1"/>
    <col min="3" max="11" width="9.85546875" bestFit="1" customWidth="1"/>
  </cols>
  <sheetData>
    <row r="2" spans="2:12" x14ac:dyDescent="0.25">
      <c r="B2" s="27" t="s">
        <v>540</v>
      </c>
    </row>
    <row r="3" spans="2:12" ht="15.75" thickBot="1" x14ac:dyDescent="0.3"/>
    <row r="4" spans="2:12" x14ac:dyDescent="0.25">
      <c r="B4" s="444" t="s">
        <v>108</v>
      </c>
      <c r="C4" s="445">
        <v>45016</v>
      </c>
      <c r="D4" s="445">
        <f>DATE(YEAR(C4)+1,MONTH(C4),DAY((C4)))</f>
        <v>45382</v>
      </c>
      <c r="E4" s="445">
        <f t="shared" ref="E4:K4" si="0">DATE(YEAR(D4)+1,MONTH(D4),DAY((D4)))</f>
        <v>45747</v>
      </c>
      <c r="F4" s="445">
        <f t="shared" si="0"/>
        <v>46112</v>
      </c>
      <c r="G4" s="445">
        <f t="shared" si="0"/>
        <v>46477</v>
      </c>
      <c r="H4" s="445">
        <f t="shared" si="0"/>
        <v>46843</v>
      </c>
      <c r="I4" s="445">
        <f t="shared" si="0"/>
        <v>47208</v>
      </c>
      <c r="J4" s="445">
        <f t="shared" si="0"/>
        <v>47573</v>
      </c>
      <c r="K4" s="445">
        <f t="shared" si="0"/>
        <v>47938</v>
      </c>
      <c r="L4" s="446" t="s">
        <v>397</v>
      </c>
    </row>
    <row r="5" spans="2:12" x14ac:dyDescent="0.25">
      <c r="B5" s="329"/>
      <c r="C5" s="327"/>
      <c r="D5" s="327"/>
      <c r="E5" s="327"/>
      <c r="F5" s="327"/>
      <c r="G5" s="327"/>
      <c r="H5" s="327"/>
      <c r="I5" s="327"/>
      <c r="J5" s="327"/>
      <c r="K5" s="327"/>
      <c r="L5" s="328"/>
    </row>
    <row r="6" spans="2:12" x14ac:dyDescent="0.25">
      <c r="B6" s="329" t="s">
        <v>246</v>
      </c>
      <c r="C6" s="435">
        <f>+PL!F55</f>
        <v>-18.700082653423259</v>
      </c>
      <c r="D6" s="435">
        <f>+PL!G55</f>
        <v>-3.7266315869682138</v>
      </c>
      <c r="E6" s="435">
        <f>+PL!H55</f>
        <v>11.41067847669785</v>
      </c>
      <c r="F6" s="435">
        <f>+PL!I55</f>
        <v>22.055928985320548</v>
      </c>
      <c r="G6" s="435">
        <f>+PL!J55</f>
        <v>32.493240505566469</v>
      </c>
      <c r="H6" s="435">
        <f>+PL!K55</f>
        <v>42.79001711874885</v>
      </c>
      <c r="I6" s="435">
        <f>+PL!L55</f>
        <v>53.021630031061321</v>
      </c>
      <c r="J6" s="435">
        <f>+PL!M55</f>
        <v>63.270155954420204</v>
      </c>
      <c r="K6" s="435">
        <f>+PL!N55</f>
        <v>68.577352850905953</v>
      </c>
      <c r="L6" s="436">
        <f>SUM(C6:K6)</f>
        <v>271.19228968232972</v>
      </c>
    </row>
    <row r="7" spans="2:12" x14ac:dyDescent="0.25">
      <c r="B7" s="329" t="s">
        <v>214</v>
      </c>
      <c r="C7" s="435">
        <f>+PL!F32</f>
        <v>31.133717359977982</v>
      </c>
      <c r="D7" s="435">
        <f>+PL!G32</f>
        <v>25.579400226670604</v>
      </c>
      <c r="E7" s="435">
        <f>+PL!H32</f>
        <v>21.024563618079021</v>
      </c>
      <c r="F7" s="435">
        <f>+PL!I32</f>
        <v>17.288382759940202</v>
      </c>
      <c r="G7" s="435">
        <f>+PL!J32</f>
        <v>14.222877330432064</v>
      </c>
      <c r="H7" s="435">
        <f>+PL!K32</f>
        <v>11.706923859048473</v>
      </c>
      <c r="I7" s="435">
        <f>+PL!L32</f>
        <v>9.6413641797329568</v>
      </c>
      <c r="J7" s="435">
        <f>+PL!M32</f>
        <v>7.9450082516134186</v>
      </c>
      <c r="K7" s="435">
        <f>+PL!N32</f>
        <v>6.5513670316446886</v>
      </c>
      <c r="L7" s="436">
        <f>SUM(C7:K7)</f>
        <v>145.09360461713942</v>
      </c>
    </row>
    <row r="8" spans="2:12" x14ac:dyDescent="0.25">
      <c r="B8" s="329" t="s">
        <v>372</v>
      </c>
      <c r="C8" s="435">
        <f>+PL!F45</f>
        <v>16.390498976919769</v>
      </c>
      <c r="D8" s="435">
        <f>+PL!G45</f>
        <v>15.622194337376653</v>
      </c>
      <c r="E8" s="435">
        <f>+PL!H45</f>
        <v>13.573381965261687</v>
      </c>
      <c r="F8" s="435">
        <f>+PL!I45</f>
        <v>11.524569593146714</v>
      </c>
      <c r="G8" s="435">
        <f>+PL!J45</f>
        <v>9.4757572210317438</v>
      </c>
      <c r="H8" s="435">
        <f>+PL!K45</f>
        <v>7.4269448489167749</v>
      </c>
      <c r="I8" s="435">
        <f>+PL!L45</f>
        <v>5.3781324768018033</v>
      </c>
      <c r="J8" s="435">
        <f>+PL!M45</f>
        <v>3.3293201046868317</v>
      </c>
      <c r="K8" s="435">
        <f>+PL!N45</f>
        <v>1.2805077325718608</v>
      </c>
      <c r="L8" s="436">
        <f>SUM(C8:K8)</f>
        <v>84.001307256713844</v>
      </c>
    </row>
    <row r="9" spans="2:12" ht="15.75" thickBot="1" x14ac:dyDescent="0.3">
      <c r="B9" s="332" t="s">
        <v>397</v>
      </c>
      <c r="C9" s="438">
        <f>SUM(C6:C8)</f>
        <v>28.824133683474493</v>
      </c>
      <c r="D9" s="438">
        <f t="shared" ref="D9:K9" si="1">SUM(D6:D8)</f>
        <v>37.474962977079045</v>
      </c>
      <c r="E9" s="438">
        <f t="shared" si="1"/>
        <v>46.008624060038557</v>
      </c>
      <c r="F9" s="438">
        <f t="shared" si="1"/>
        <v>50.868881338407469</v>
      </c>
      <c r="G9" s="438">
        <f t="shared" si="1"/>
        <v>56.191875057030273</v>
      </c>
      <c r="H9" s="438">
        <f t="shared" si="1"/>
        <v>61.923885826714098</v>
      </c>
      <c r="I9" s="438">
        <f t="shared" si="1"/>
        <v>68.041126687596091</v>
      </c>
      <c r="J9" s="438">
        <f t="shared" si="1"/>
        <v>74.544484310720449</v>
      </c>
      <c r="K9" s="438">
        <f t="shared" si="1"/>
        <v>76.409227615122504</v>
      </c>
      <c r="L9" s="439">
        <f>SUM(L6:L8)</f>
        <v>500.28720155618299</v>
      </c>
    </row>
    <row r="10" spans="2:12" ht="15.75" thickTop="1" x14ac:dyDescent="0.25">
      <c r="B10" s="329"/>
      <c r="C10" s="327"/>
      <c r="D10" s="327"/>
      <c r="E10" s="327"/>
      <c r="F10" s="327"/>
      <c r="G10" s="327"/>
      <c r="H10" s="327"/>
      <c r="I10" s="327"/>
      <c r="J10" s="327"/>
      <c r="K10" s="327"/>
      <c r="L10" s="328"/>
    </row>
    <row r="11" spans="2:12" x14ac:dyDescent="0.25">
      <c r="B11" s="329" t="s">
        <v>541</v>
      </c>
      <c r="C11" s="330">
        <f>+TL!E70</f>
        <v>0</v>
      </c>
      <c r="D11" s="330">
        <f>+TL!F70</f>
        <v>17.073436434291427</v>
      </c>
      <c r="E11" s="330">
        <f>+TL!G70</f>
        <v>17.073436434291427</v>
      </c>
      <c r="F11" s="330">
        <f>+TL!H70</f>
        <v>17.073436434291427</v>
      </c>
      <c r="G11" s="330">
        <f>+TL!I70</f>
        <v>17.073436434291427</v>
      </c>
      <c r="H11" s="330">
        <f>+TL!J70</f>
        <v>17.073436434291427</v>
      </c>
      <c r="I11" s="330">
        <f>+TL!K70</f>
        <v>17.073436434291427</v>
      </c>
      <c r="J11" s="330">
        <f>+TL!L70</f>
        <v>17.073436434291427</v>
      </c>
      <c r="K11" s="330">
        <f>+TL!M70</f>
        <v>17.073436434291427</v>
      </c>
      <c r="L11" s="331">
        <f>SUM(C11:K11)</f>
        <v>136.58749147433142</v>
      </c>
    </row>
    <row r="12" spans="2:12" x14ac:dyDescent="0.25">
      <c r="B12" s="329" t="s">
        <v>372</v>
      </c>
      <c r="C12" s="435">
        <f>C8</f>
        <v>16.390498976919769</v>
      </c>
      <c r="D12" s="435">
        <f t="shared" ref="D12:K12" si="2">D8</f>
        <v>15.622194337376653</v>
      </c>
      <c r="E12" s="435">
        <f t="shared" si="2"/>
        <v>13.573381965261687</v>
      </c>
      <c r="F12" s="435">
        <f t="shared" si="2"/>
        <v>11.524569593146714</v>
      </c>
      <c r="G12" s="435">
        <f t="shared" si="2"/>
        <v>9.4757572210317438</v>
      </c>
      <c r="H12" s="435">
        <f t="shared" si="2"/>
        <v>7.4269448489167749</v>
      </c>
      <c r="I12" s="435">
        <f t="shared" si="2"/>
        <v>5.3781324768018033</v>
      </c>
      <c r="J12" s="435">
        <f t="shared" si="2"/>
        <v>3.3293201046868317</v>
      </c>
      <c r="K12" s="435">
        <f t="shared" si="2"/>
        <v>1.2805077325718608</v>
      </c>
      <c r="L12" s="436">
        <f>SUM(C12:K12)</f>
        <v>84.001307256713844</v>
      </c>
    </row>
    <row r="13" spans="2:12" ht="15.75" thickBot="1" x14ac:dyDescent="0.3">
      <c r="B13" s="332" t="s">
        <v>397</v>
      </c>
      <c r="C13" s="438">
        <f>SUM(C11:C12)</f>
        <v>16.390498976919769</v>
      </c>
      <c r="D13" s="438">
        <f t="shared" ref="D13:K13" si="3">SUM(D11:D12)</f>
        <v>32.695630771668078</v>
      </c>
      <c r="E13" s="438">
        <f t="shared" si="3"/>
        <v>30.646818399553112</v>
      </c>
      <c r="F13" s="438">
        <f t="shared" si="3"/>
        <v>28.598006027438139</v>
      </c>
      <c r="G13" s="438">
        <f t="shared" si="3"/>
        <v>26.549193655323172</v>
      </c>
      <c r="H13" s="438">
        <f t="shared" si="3"/>
        <v>24.500381283208203</v>
      </c>
      <c r="I13" s="438">
        <f t="shared" si="3"/>
        <v>22.451568911093229</v>
      </c>
      <c r="J13" s="438">
        <f t="shared" si="3"/>
        <v>20.402756538978259</v>
      </c>
      <c r="K13" s="438">
        <f t="shared" si="3"/>
        <v>18.353944166863286</v>
      </c>
      <c r="L13" s="439">
        <f>SUM(L11:L12)</f>
        <v>220.58879873104524</v>
      </c>
    </row>
    <row r="14" spans="2:12" ht="16.5" thickTop="1" thickBot="1" x14ac:dyDescent="0.3">
      <c r="B14" s="329"/>
      <c r="C14" s="327"/>
      <c r="D14" s="327"/>
      <c r="E14" s="327"/>
      <c r="F14" s="327"/>
      <c r="G14" s="327"/>
      <c r="H14" s="327"/>
      <c r="I14" s="327"/>
      <c r="J14" s="327"/>
      <c r="K14" s="327"/>
      <c r="L14" s="328"/>
    </row>
    <row r="15" spans="2:12" ht="15.75" thickBot="1" x14ac:dyDescent="0.3">
      <c r="B15" s="440" t="s">
        <v>542</v>
      </c>
      <c r="C15" s="441">
        <f>C9/C13</f>
        <v>1.7585879309753234</v>
      </c>
      <c r="D15" s="441">
        <f t="shared" ref="D15:K15" si="4">D9/D13</f>
        <v>1.1461764796277436</v>
      </c>
      <c r="E15" s="441">
        <f t="shared" si="4"/>
        <v>1.5012528693911487</v>
      </c>
      <c r="F15" s="441">
        <f t="shared" si="4"/>
        <v>1.7787562283049283</v>
      </c>
      <c r="G15" s="441">
        <f t="shared" si="4"/>
        <v>2.1165190847807041</v>
      </c>
      <c r="H15" s="441">
        <f t="shared" si="4"/>
        <v>2.5274662100526082</v>
      </c>
      <c r="I15" s="441">
        <f t="shared" si="4"/>
        <v>3.0305733624689917</v>
      </c>
      <c r="J15" s="441">
        <f t="shared" si="4"/>
        <v>3.6536476906102182</v>
      </c>
      <c r="K15" s="441">
        <f t="shared" si="4"/>
        <v>4.1630957858678581</v>
      </c>
      <c r="L15" s="442">
        <f>L9/L13</f>
        <v>2.2679628541164614</v>
      </c>
    </row>
    <row r="16" spans="2:12" ht="15.75" thickBot="1" x14ac:dyDescent="0.3">
      <c r="B16" s="336" t="s">
        <v>543</v>
      </c>
      <c r="C16" s="441">
        <f>L9/L13</f>
        <v>2.2679628541164614</v>
      </c>
      <c r="D16" s="362"/>
      <c r="E16" s="362"/>
      <c r="F16" s="362"/>
      <c r="G16" s="362"/>
      <c r="H16" s="362"/>
      <c r="I16" s="362"/>
      <c r="J16" s="362"/>
      <c r="K16" s="362"/>
      <c r="L16" s="437"/>
    </row>
    <row r="19" spans="2:12" ht="15.75" thickBot="1" x14ac:dyDescent="0.3">
      <c r="B19" s="27" t="s">
        <v>546</v>
      </c>
    </row>
    <row r="20" spans="2:12" x14ac:dyDescent="0.25">
      <c r="B20" s="444" t="s">
        <v>108</v>
      </c>
      <c r="C20" s="445">
        <v>45016</v>
      </c>
      <c r="D20" s="445">
        <f>DATE(YEAR(C20)+1,MONTH(C20),DAY((C20)))</f>
        <v>45382</v>
      </c>
      <c r="E20" s="445">
        <f t="shared" ref="E20" si="5">DATE(YEAR(D20)+1,MONTH(D20),DAY((D20)))</f>
        <v>45747</v>
      </c>
      <c r="F20" s="445">
        <f t="shared" ref="F20" si="6">DATE(YEAR(E20)+1,MONTH(E20),DAY((E20)))</f>
        <v>46112</v>
      </c>
      <c r="G20" s="445">
        <f t="shared" ref="G20" si="7">DATE(YEAR(F20)+1,MONTH(F20),DAY((F20)))</f>
        <v>46477</v>
      </c>
      <c r="H20" s="445">
        <f t="shared" ref="H20" si="8">DATE(YEAR(G20)+1,MONTH(G20),DAY((G20)))</f>
        <v>46843</v>
      </c>
      <c r="I20" s="445">
        <f t="shared" ref="I20" si="9">DATE(YEAR(H20)+1,MONTH(H20),DAY((H20)))</f>
        <v>47208</v>
      </c>
      <c r="J20" s="445">
        <f t="shared" ref="J20" si="10">DATE(YEAR(I20)+1,MONTH(I20),DAY((I20)))</f>
        <v>47573</v>
      </c>
      <c r="K20" s="445">
        <f t="shared" ref="K20" si="11">DATE(YEAR(J20)+1,MONTH(J20),DAY((J20)))</f>
        <v>47938</v>
      </c>
      <c r="L20" s="446" t="s">
        <v>397</v>
      </c>
    </row>
    <row r="21" spans="2:12" x14ac:dyDescent="0.25">
      <c r="B21" s="329"/>
      <c r="C21" s="327"/>
      <c r="D21" s="327"/>
      <c r="E21" s="327"/>
      <c r="F21" s="327"/>
      <c r="G21" s="327"/>
      <c r="H21" s="327"/>
      <c r="I21" s="327"/>
      <c r="J21" s="327"/>
      <c r="K21" s="327"/>
      <c r="L21" s="328"/>
    </row>
    <row r="22" spans="2:12" x14ac:dyDescent="0.25">
      <c r="B22" s="329" t="s">
        <v>246</v>
      </c>
      <c r="C22" s="435">
        <f>C6</f>
        <v>-18.700082653423259</v>
      </c>
      <c r="D22" s="435">
        <f t="shared" ref="D22:K22" si="12">D6</f>
        <v>-3.7266315869682138</v>
      </c>
      <c r="E22" s="435">
        <f t="shared" si="12"/>
        <v>11.41067847669785</v>
      </c>
      <c r="F22" s="435">
        <f t="shared" si="12"/>
        <v>22.055928985320548</v>
      </c>
      <c r="G22" s="435">
        <f t="shared" si="12"/>
        <v>32.493240505566469</v>
      </c>
      <c r="H22" s="435">
        <f t="shared" si="12"/>
        <v>42.79001711874885</v>
      </c>
      <c r="I22" s="435">
        <f t="shared" si="12"/>
        <v>53.021630031061321</v>
      </c>
      <c r="J22" s="435">
        <f t="shared" si="12"/>
        <v>63.270155954420204</v>
      </c>
      <c r="K22" s="435">
        <f t="shared" si="12"/>
        <v>68.577352850905953</v>
      </c>
      <c r="L22" s="436">
        <f>SUM(C22:K22)</f>
        <v>271.19228968232972</v>
      </c>
    </row>
    <row r="23" spans="2:12" x14ac:dyDescent="0.25">
      <c r="B23" s="329" t="s">
        <v>547</v>
      </c>
      <c r="C23" s="435">
        <f>+PL!F48</f>
        <v>18.897498976919771</v>
      </c>
      <c r="D23" s="435">
        <f>+PL!G48</f>
        <v>18.783194337376653</v>
      </c>
      <c r="E23" s="435">
        <f>+PL!H48</f>
        <v>17.279381965261688</v>
      </c>
      <c r="F23" s="435">
        <f>+PL!I48</f>
        <v>15.230569593146713</v>
      </c>
      <c r="G23" s="435">
        <f>+PL!J48</f>
        <v>13.181757221031743</v>
      </c>
      <c r="H23" s="435">
        <f>+PL!K48</f>
        <v>11.132944848916775</v>
      </c>
      <c r="I23" s="435">
        <f>+PL!L48</f>
        <v>9.0841324768018037</v>
      </c>
      <c r="J23" s="435">
        <f>+PL!M48</f>
        <v>7.0353201046868321</v>
      </c>
      <c r="K23" s="435">
        <f>+PL!N48</f>
        <v>4.9865077325718605</v>
      </c>
      <c r="L23" s="436">
        <f>SUM(C23:K23)</f>
        <v>115.61130725671384</v>
      </c>
    </row>
    <row r="24" spans="2:12" ht="15.75" thickBot="1" x14ac:dyDescent="0.3">
      <c r="B24" s="332" t="s">
        <v>551</v>
      </c>
      <c r="C24" s="438">
        <f t="shared" ref="C24:L24" si="13">SUM(C22:C23)</f>
        <v>0.19741632349651184</v>
      </c>
      <c r="D24" s="438">
        <f t="shared" si="13"/>
        <v>15.056562750408439</v>
      </c>
      <c r="E24" s="438">
        <f t="shared" si="13"/>
        <v>28.690060441959538</v>
      </c>
      <c r="F24" s="438">
        <f t="shared" si="13"/>
        <v>37.28649857846726</v>
      </c>
      <c r="G24" s="438">
        <f t="shared" si="13"/>
        <v>45.674997726598214</v>
      </c>
      <c r="H24" s="438">
        <f t="shared" si="13"/>
        <v>53.922961967665628</v>
      </c>
      <c r="I24" s="438">
        <f t="shared" si="13"/>
        <v>62.105762507863126</v>
      </c>
      <c r="J24" s="438">
        <f t="shared" si="13"/>
        <v>70.305476059107036</v>
      </c>
      <c r="K24" s="438">
        <f t="shared" si="13"/>
        <v>73.563860583477819</v>
      </c>
      <c r="L24" s="439">
        <f t="shared" si="13"/>
        <v>386.80359693904359</v>
      </c>
    </row>
    <row r="25" spans="2:12" ht="15.75" thickTop="1" x14ac:dyDescent="0.25">
      <c r="B25" s="329"/>
      <c r="C25" s="327"/>
      <c r="D25" s="327"/>
      <c r="E25" s="327"/>
      <c r="F25" s="327"/>
      <c r="G25" s="327"/>
      <c r="H25" s="327"/>
      <c r="I25" s="327"/>
      <c r="J25" s="327"/>
      <c r="K25" s="327"/>
      <c r="L25" s="328"/>
    </row>
    <row r="26" spans="2:12" x14ac:dyDescent="0.25">
      <c r="B26" s="329" t="s">
        <v>548</v>
      </c>
      <c r="C26" s="330">
        <f>+BS!F103</f>
        <v>253.52704293981327</v>
      </c>
      <c r="D26" s="330">
        <f>+BS!G103</f>
        <v>245.84866969756288</v>
      </c>
      <c r="E26" s="330">
        <f>+BS!H103</f>
        <v>252.61749824726962</v>
      </c>
      <c r="F26" s="330">
        <f>+BS!I103</f>
        <v>261.53137279691134</v>
      </c>
      <c r="G26" s="330">
        <f>+BS!J103</f>
        <v>281.00347009732286</v>
      </c>
      <c r="H26" s="330">
        <f>+BS!K103</f>
        <v>310.87638849005515</v>
      </c>
      <c r="I26" s="330">
        <f>+BS!L103</f>
        <v>351.08407555478436</v>
      </c>
      <c r="J26" s="330">
        <f>+BS!M103</f>
        <v>401.64279295249207</v>
      </c>
      <c r="K26" s="330">
        <f>+BS!N103</f>
        <v>453.73712404530221</v>
      </c>
      <c r="L26" s="331">
        <f>SUM(C26:K26)</f>
        <v>2811.8684348215138</v>
      </c>
    </row>
    <row r="27" spans="2:12" x14ac:dyDescent="0.25">
      <c r="B27" s="329" t="s">
        <v>549</v>
      </c>
      <c r="C27" s="435">
        <f>+BS!F34</f>
        <v>79.165959759325759</v>
      </c>
      <c r="D27" s="435">
        <f>+BS!G34</f>
        <v>92.287654538335048</v>
      </c>
      <c r="E27" s="435">
        <f>+BS!H34</f>
        <v>104.71924104563534</v>
      </c>
      <c r="F27" s="435">
        <f>+BS!I34</f>
        <v>108.65062304424796</v>
      </c>
      <c r="G27" s="435">
        <f>+BS!J34</f>
        <v>112.70291627338442</v>
      </c>
      <c r="H27" s="435">
        <f>+BS!K34</f>
        <v>116.85925398165924</v>
      </c>
      <c r="I27" s="435">
        <f>+BS!L34</f>
        <v>121.11874744961857</v>
      </c>
      <c r="J27" s="435">
        <f>+BS!M34</f>
        <v>125.4807453271975</v>
      </c>
      <c r="K27" s="435">
        <f>+BS!N34</f>
        <v>108.99772356910175</v>
      </c>
      <c r="L27" s="436">
        <f>SUM(C27:K27)</f>
        <v>969.98286498850553</v>
      </c>
    </row>
    <row r="28" spans="2:12" ht="15.75" thickBot="1" x14ac:dyDescent="0.3">
      <c r="B28" s="332" t="s">
        <v>550</v>
      </c>
      <c r="C28" s="438">
        <f>C26-C27</f>
        <v>174.36108318048753</v>
      </c>
      <c r="D28" s="438">
        <f t="shared" ref="D28:K28" si="14">D26-D27</f>
        <v>153.56101515922785</v>
      </c>
      <c r="E28" s="438">
        <f t="shared" si="14"/>
        <v>147.89825720163429</v>
      </c>
      <c r="F28" s="438">
        <f t="shared" si="14"/>
        <v>152.88074975266338</v>
      </c>
      <c r="G28" s="438">
        <f t="shared" si="14"/>
        <v>168.30055382393846</v>
      </c>
      <c r="H28" s="438">
        <f t="shared" si="14"/>
        <v>194.01713450839591</v>
      </c>
      <c r="I28" s="438">
        <f t="shared" si="14"/>
        <v>229.96532810516578</v>
      </c>
      <c r="J28" s="438">
        <f t="shared" si="14"/>
        <v>276.16204762529458</v>
      </c>
      <c r="K28" s="438">
        <f t="shared" si="14"/>
        <v>344.73940047620044</v>
      </c>
      <c r="L28" s="439">
        <f>SUM(L26:L27)</f>
        <v>3781.8512998100196</v>
      </c>
    </row>
    <row r="29" spans="2:12" ht="16.5" thickTop="1" thickBot="1" x14ac:dyDescent="0.3">
      <c r="B29" s="329"/>
      <c r="C29" s="327"/>
      <c r="D29" s="327"/>
      <c r="E29" s="327"/>
      <c r="F29" s="327"/>
      <c r="G29" s="327"/>
      <c r="H29" s="327"/>
      <c r="I29" s="327"/>
      <c r="J29" s="327"/>
      <c r="K29" s="327"/>
      <c r="L29" s="328"/>
    </row>
    <row r="30" spans="2:12" ht="15.75" thickBot="1" x14ac:dyDescent="0.3">
      <c r="B30" s="440" t="s">
        <v>552</v>
      </c>
      <c r="C30" s="443">
        <f>C24/C28</f>
        <v>1.1322269849181827E-3</v>
      </c>
      <c r="D30" s="443">
        <f t="shared" ref="D30:K30" si="15">D24/D28</f>
        <v>9.8049382747282879E-2</v>
      </c>
      <c r="E30" s="443">
        <f t="shared" si="15"/>
        <v>0.1939851150703249</v>
      </c>
      <c r="F30" s="443">
        <f t="shared" si="15"/>
        <v>0.24389269832069019</v>
      </c>
      <c r="G30" s="443">
        <f t="shared" si="15"/>
        <v>0.27138946776360262</v>
      </c>
      <c r="H30" s="443">
        <f t="shared" si="15"/>
        <v>0.27792886491338303</v>
      </c>
      <c r="I30" s="443">
        <f t="shared" si="15"/>
        <v>0.27006576608566596</v>
      </c>
      <c r="J30" s="443">
        <f t="shared" si="15"/>
        <v>0.25458051409909782</v>
      </c>
      <c r="K30" s="443">
        <f t="shared" si="15"/>
        <v>0.21338976769658913</v>
      </c>
      <c r="L30" s="447"/>
    </row>
    <row r="31" spans="2:12" ht="15.75" thickBot="1" x14ac:dyDescent="0.3">
      <c r="B31" s="336" t="s">
        <v>553</v>
      </c>
      <c r="C31" s="448">
        <f>L24/L28</f>
        <v>0.10227890159469638</v>
      </c>
      <c r="D31" s="362"/>
      <c r="E31" s="362"/>
      <c r="F31" s="362"/>
      <c r="G31" s="362"/>
      <c r="H31" s="362"/>
      <c r="I31" s="362"/>
      <c r="J31" s="362"/>
      <c r="K31" s="362"/>
      <c r="L31" s="437"/>
    </row>
    <row r="34" spans="2:12" ht="15.75" thickBot="1" x14ac:dyDescent="0.3">
      <c r="B34" s="27" t="s">
        <v>554</v>
      </c>
    </row>
    <row r="35" spans="2:12" x14ac:dyDescent="0.25">
      <c r="B35" s="444" t="s">
        <v>108</v>
      </c>
      <c r="C35" s="445">
        <v>45016</v>
      </c>
      <c r="D35" s="445">
        <f>DATE(YEAR(C35)+1,MONTH(C35),DAY((C35)))</f>
        <v>45382</v>
      </c>
      <c r="E35" s="445">
        <f t="shared" ref="E35" si="16">DATE(YEAR(D35)+1,MONTH(D35),DAY((D35)))</f>
        <v>45747</v>
      </c>
      <c r="F35" s="445">
        <f t="shared" ref="F35" si="17">DATE(YEAR(E35)+1,MONTH(E35),DAY((E35)))</f>
        <v>46112</v>
      </c>
      <c r="G35" s="445">
        <f t="shared" ref="G35" si="18">DATE(YEAR(F35)+1,MONTH(F35),DAY((F35)))</f>
        <v>46477</v>
      </c>
      <c r="H35" s="445">
        <f t="shared" ref="H35" si="19">DATE(YEAR(G35)+1,MONTH(G35),DAY((G35)))</f>
        <v>46843</v>
      </c>
      <c r="I35" s="445">
        <f t="shared" ref="I35" si="20">DATE(YEAR(H35)+1,MONTH(H35),DAY((H35)))</f>
        <v>47208</v>
      </c>
      <c r="J35" s="445">
        <f t="shared" ref="J35" si="21">DATE(YEAR(I35)+1,MONTH(I35),DAY((I35)))</f>
        <v>47573</v>
      </c>
      <c r="K35" s="446">
        <f t="shared" ref="K35" si="22">DATE(YEAR(J35)+1,MONTH(J35),DAY((J35)))</f>
        <v>47938</v>
      </c>
    </row>
    <row r="36" spans="2:12" x14ac:dyDescent="0.25">
      <c r="B36" s="329"/>
      <c r="C36" s="327"/>
      <c r="D36" s="327"/>
      <c r="E36" s="327"/>
      <c r="F36" s="327"/>
      <c r="G36" s="327"/>
      <c r="H36" s="327"/>
      <c r="I36" s="327"/>
      <c r="J36" s="327"/>
      <c r="K36" s="328"/>
    </row>
    <row r="37" spans="2:12" x14ac:dyDescent="0.25">
      <c r="B37" s="329" t="s">
        <v>550</v>
      </c>
      <c r="C37" s="435">
        <f>-C28</f>
        <v>-174.36108318048753</v>
      </c>
      <c r="D37" s="435">
        <f>C28-D28</f>
        <v>20.800068021259676</v>
      </c>
      <c r="E37" s="435">
        <f t="shared" ref="E37:K37" si="23">D28-E28</f>
        <v>5.6627579575935556</v>
      </c>
      <c r="F37" s="435">
        <f t="shared" si="23"/>
        <v>-4.9824925510290825</v>
      </c>
      <c r="G37" s="435">
        <f t="shared" si="23"/>
        <v>-15.419804071275081</v>
      </c>
      <c r="H37" s="435">
        <f t="shared" si="23"/>
        <v>-25.716580684457455</v>
      </c>
      <c r="I37" s="435">
        <f t="shared" si="23"/>
        <v>-35.948193596769869</v>
      </c>
      <c r="J37" s="435">
        <f t="shared" si="23"/>
        <v>-46.196719520128795</v>
      </c>
      <c r="K37" s="436">
        <f t="shared" si="23"/>
        <v>-68.577352850905868</v>
      </c>
    </row>
    <row r="38" spans="2:12" x14ac:dyDescent="0.25">
      <c r="B38" s="329"/>
      <c r="C38" s="435"/>
      <c r="D38" s="435"/>
      <c r="E38" s="435"/>
      <c r="F38" s="435"/>
      <c r="G38" s="435"/>
      <c r="H38" s="435"/>
      <c r="I38" s="435"/>
      <c r="J38" s="435"/>
      <c r="K38" s="436"/>
    </row>
    <row r="39" spans="2:12" ht="15.75" thickBot="1" x14ac:dyDescent="0.3">
      <c r="B39" s="332" t="s">
        <v>397</v>
      </c>
      <c r="C39" s="438">
        <f>SUM(C37:C38)</f>
        <v>-174.36108318048753</v>
      </c>
      <c r="D39" s="438">
        <f t="shared" ref="D39:K39" si="24">SUM(D37:D38)</f>
        <v>20.800068021259676</v>
      </c>
      <c r="E39" s="438">
        <f t="shared" si="24"/>
        <v>5.6627579575935556</v>
      </c>
      <c r="F39" s="438">
        <f t="shared" si="24"/>
        <v>-4.9824925510290825</v>
      </c>
      <c r="G39" s="438">
        <f t="shared" si="24"/>
        <v>-15.419804071275081</v>
      </c>
      <c r="H39" s="438">
        <f t="shared" si="24"/>
        <v>-25.716580684457455</v>
      </c>
      <c r="I39" s="438">
        <f t="shared" si="24"/>
        <v>-35.948193596769869</v>
      </c>
      <c r="J39" s="438">
        <f t="shared" si="24"/>
        <v>-46.196719520128795</v>
      </c>
      <c r="K39" s="439">
        <f t="shared" si="24"/>
        <v>-68.577352850905868</v>
      </c>
    </row>
    <row r="40" spans="2:12" ht="15.75" thickTop="1" x14ac:dyDescent="0.25">
      <c r="B40" s="329"/>
      <c r="C40" s="327"/>
      <c r="D40" s="327"/>
      <c r="E40" s="327"/>
      <c r="F40" s="327"/>
      <c r="G40" s="327"/>
      <c r="H40" s="327"/>
      <c r="I40" s="327"/>
      <c r="J40" s="327"/>
      <c r="K40" s="328"/>
    </row>
    <row r="41" spans="2:12" x14ac:dyDescent="0.25">
      <c r="B41" s="329" t="s">
        <v>246</v>
      </c>
      <c r="C41" s="435">
        <f>+C6</f>
        <v>-18.700082653423259</v>
      </c>
      <c r="D41" s="435">
        <f t="shared" ref="D41:K41" si="25">+D6</f>
        <v>-3.7266315869682138</v>
      </c>
      <c r="E41" s="435">
        <f t="shared" si="25"/>
        <v>11.41067847669785</v>
      </c>
      <c r="F41" s="435">
        <f t="shared" si="25"/>
        <v>22.055928985320548</v>
      </c>
      <c r="G41" s="435">
        <f t="shared" si="25"/>
        <v>32.493240505566469</v>
      </c>
      <c r="H41" s="435">
        <f t="shared" si="25"/>
        <v>42.79001711874885</v>
      </c>
      <c r="I41" s="435">
        <f t="shared" si="25"/>
        <v>53.021630031061321</v>
      </c>
      <c r="J41" s="435">
        <f t="shared" si="25"/>
        <v>63.270155954420204</v>
      </c>
      <c r="K41" s="436">
        <f t="shared" si="25"/>
        <v>68.577352850905953</v>
      </c>
    </row>
    <row r="42" spans="2:12" x14ac:dyDescent="0.25">
      <c r="B42" s="329" t="s">
        <v>214</v>
      </c>
      <c r="C42" s="435">
        <f t="shared" ref="C42:K42" si="26">+C7</f>
        <v>31.133717359977982</v>
      </c>
      <c r="D42" s="435">
        <f t="shared" si="26"/>
        <v>25.579400226670604</v>
      </c>
      <c r="E42" s="435">
        <f t="shared" si="26"/>
        <v>21.024563618079021</v>
      </c>
      <c r="F42" s="435">
        <f t="shared" si="26"/>
        <v>17.288382759940202</v>
      </c>
      <c r="G42" s="435">
        <f t="shared" si="26"/>
        <v>14.222877330432064</v>
      </c>
      <c r="H42" s="435">
        <f t="shared" si="26"/>
        <v>11.706923859048473</v>
      </c>
      <c r="I42" s="435">
        <f t="shared" si="26"/>
        <v>9.6413641797329568</v>
      </c>
      <c r="J42" s="435">
        <f t="shared" si="26"/>
        <v>7.9450082516134186</v>
      </c>
      <c r="K42" s="436">
        <f t="shared" si="26"/>
        <v>6.5513670316446886</v>
      </c>
    </row>
    <row r="43" spans="2:12" x14ac:dyDescent="0.25">
      <c r="B43" s="329" t="s">
        <v>372</v>
      </c>
      <c r="C43" s="435">
        <f t="shared" ref="C43:K43" si="27">+C8</f>
        <v>16.390498976919769</v>
      </c>
      <c r="D43" s="435">
        <f t="shared" si="27"/>
        <v>15.622194337376653</v>
      </c>
      <c r="E43" s="435">
        <f t="shared" si="27"/>
        <v>13.573381965261687</v>
      </c>
      <c r="F43" s="435">
        <f t="shared" si="27"/>
        <v>11.524569593146714</v>
      </c>
      <c r="G43" s="435">
        <f t="shared" si="27"/>
        <v>9.4757572210317438</v>
      </c>
      <c r="H43" s="435">
        <f t="shared" si="27"/>
        <v>7.4269448489167749</v>
      </c>
      <c r="I43" s="435">
        <f t="shared" si="27"/>
        <v>5.3781324768018033</v>
      </c>
      <c r="J43" s="435">
        <f t="shared" si="27"/>
        <v>3.3293201046868317</v>
      </c>
      <c r="K43" s="436">
        <f t="shared" si="27"/>
        <v>1.2805077325718608</v>
      </c>
    </row>
    <row r="44" spans="2:12" ht="15.75" thickBot="1" x14ac:dyDescent="0.3">
      <c r="B44" s="332" t="s">
        <v>397</v>
      </c>
      <c r="C44" s="438">
        <f>SUM(C41:C43)</f>
        <v>28.824133683474493</v>
      </c>
      <c r="D44" s="438">
        <f t="shared" ref="D44" si="28">SUM(D41:D43)</f>
        <v>37.474962977079045</v>
      </c>
      <c r="E44" s="438">
        <f t="shared" ref="E44" si="29">SUM(E41:E43)</f>
        <v>46.008624060038557</v>
      </c>
      <c r="F44" s="438">
        <f t="shared" ref="F44" si="30">SUM(F41:F43)</f>
        <v>50.868881338407469</v>
      </c>
      <c r="G44" s="438">
        <f t="shared" ref="G44" si="31">SUM(G41:G43)</f>
        <v>56.191875057030273</v>
      </c>
      <c r="H44" s="438">
        <f t="shared" ref="H44" si="32">SUM(H41:H43)</f>
        <v>61.923885826714098</v>
      </c>
      <c r="I44" s="438">
        <f t="shared" ref="I44" si="33">SUM(I41:I43)</f>
        <v>68.041126687596091</v>
      </c>
      <c r="J44" s="438">
        <f t="shared" ref="J44" si="34">SUM(J41:J43)</f>
        <v>74.544484310720449</v>
      </c>
      <c r="K44" s="439">
        <f t="shared" ref="K44" si="35">SUM(K41:K43)</f>
        <v>76.409227615122504</v>
      </c>
    </row>
    <row r="45" spans="2:12" ht="16.5" thickTop="1" thickBot="1" x14ac:dyDescent="0.3">
      <c r="B45" s="329"/>
      <c r="C45" s="327"/>
      <c r="D45" s="327"/>
      <c r="E45" s="327"/>
      <c r="F45" s="327"/>
      <c r="G45" s="327"/>
      <c r="H45" s="327"/>
      <c r="I45" s="327"/>
      <c r="J45" s="327"/>
      <c r="K45" s="328"/>
      <c r="L45" t="s">
        <v>557</v>
      </c>
    </row>
    <row r="46" spans="2:12" ht="15.75" thickBot="1" x14ac:dyDescent="0.3">
      <c r="B46" s="440" t="s">
        <v>555</v>
      </c>
      <c r="C46" s="441">
        <f>C39+C44</f>
        <v>-145.53694949701304</v>
      </c>
      <c r="D46" s="441">
        <f t="shared" ref="D46:K46" si="36">D39+D44</f>
        <v>58.275030998338721</v>
      </c>
      <c r="E46" s="441">
        <f t="shared" si="36"/>
        <v>51.671382017632112</v>
      </c>
      <c r="F46" s="441">
        <f t="shared" si="36"/>
        <v>45.886388787378387</v>
      </c>
      <c r="G46" s="441">
        <f t="shared" si="36"/>
        <v>40.772070985755192</v>
      </c>
      <c r="H46" s="441">
        <f t="shared" si="36"/>
        <v>36.207305142256644</v>
      </c>
      <c r="I46" s="441">
        <f t="shared" si="36"/>
        <v>32.092933090826222</v>
      </c>
      <c r="J46" s="441">
        <f t="shared" si="36"/>
        <v>28.347764790591654</v>
      </c>
      <c r="K46" s="442">
        <f t="shared" si="36"/>
        <v>7.8318747642166358</v>
      </c>
    </row>
    <row r="47" spans="2:12" ht="15.75" thickBot="1" x14ac:dyDescent="0.3">
      <c r="B47" s="336" t="s">
        <v>556</v>
      </c>
      <c r="C47" s="448">
        <f>IRR(C46:K46)</f>
        <v>0.25577946949064279</v>
      </c>
      <c r="D47" s="362"/>
      <c r="E47" s="362"/>
      <c r="F47" s="362"/>
      <c r="G47" s="362"/>
      <c r="H47" s="362"/>
      <c r="I47" s="362"/>
      <c r="J47" s="362"/>
      <c r="K47" s="437"/>
    </row>
  </sheetData>
  <conditionalFormatting sqref="C15:L15">
    <cfRule type="cellIs" dxfId="0" priority="2" operator="less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Inputs</vt:lpstr>
      <vt:lpstr>Site Dev</vt:lpstr>
      <vt:lpstr>Civil</vt:lpstr>
      <vt:lpstr>P&amp;M</vt:lpstr>
      <vt:lpstr>Pre-operative</vt:lpstr>
      <vt:lpstr>IDC</vt:lpstr>
      <vt:lpstr>Capacity</vt:lpstr>
      <vt:lpstr>Revenue Buildup</vt:lpstr>
      <vt:lpstr>RM</vt:lpstr>
      <vt:lpstr>Consumables</vt:lpstr>
      <vt:lpstr>Power</vt:lpstr>
      <vt:lpstr>Manpower</vt:lpstr>
      <vt:lpstr>Repairs</vt:lpstr>
      <vt:lpstr>FAS</vt:lpstr>
      <vt:lpstr>WC</vt:lpstr>
      <vt:lpstr>TL</vt:lpstr>
      <vt:lpstr>Cost &amp; Means</vt:lpstr>
      <vt:lpstr>PL</vt:lpstr>
      <vt:lpstr>BS</vt:lpstr>
      <vt:lpstr>CFS</vt:lpstr>
      <vt:lpstr>Ratios</vt:lpstr>
      <vt:lpstr>Company_Name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2020-10-22T18:43:29Z</dcterms:created>
  <dcterms:modified xsi:type="dcterms:W3CDTF">2024-07-03T15:04:10Z</dcterms:modified>
</cp:coreProperties>
</file>